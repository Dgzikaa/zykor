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D950D7AD-6641-45E6-A623-6131F8ED6A99}" xr6:coauthVersionLast="47" xr6:coauthVersionMax="47" xr10:uidLastSave="{00000000-0000-0000-0000-000000000000}"/>
  <bookViews>
    <workbookView xWindow="-108" yWindow="-108" windowWidth="23256" windowHeight="12456" xr2:uid="{676D33FC-0433-46BF-BC16-9D7A9E73A4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O19" i="1"/>
  <c r="N19" i="1"/>
  <c r="M19" i="1"/>
  <c r="N18" i="1"/>
  <c r="O18" i="1" s="1"/>
  <c r="O13" i="1"/>
  <c r="N13" i="1"/>
  <c r="M13" i="1"/>
  <c r="N12" i="1"/>
  <c r="O12" i="1" s="1"/>
  <c r="B28" i="1"/>
  <c r="B29" i="1" s="1"/>
  <c r="D28" i="1"/>
  <c r="D29" i="1" s="1"/>
  <c r="C28" i="1"/>
  <c r="C29" i="1" s="1"/>
  <c r="D31" i="1"/>
  <c r="D32" i="1" s="1"/>
  <c r="C31" i="1"/>
  <c r="C32" i="1" s="1"/>
  <c r="B31" i="1"/>
  <c r="B32" i="1" s="1"/>
  <c r="D25" i="1"/>
  <c r="D26" i="1" s="1"/>
  <c r="C25" i="1"/>
  <c r="C26" i="1" s="1"/>
  <c r="B25" i="1"/>
  <c r="B26" i="1" s="1"/>
  <c r="C21" i="1"/>
  <c r="C22" i="1" s="1"/>
  <c r="D21" i="1"/>
  <c r="D22" i="1" s="1"/>
  <c r="B21" i="1"/>
  <c r="B22" i="1" s="1"/>
  <c r="C19" i="1"/>
  <c r="C20" i="1" s="1"/>
  <c r="D19" i="1"/>
  <c r="D20" i="1" s="1"/>
  <c r="B19" i="1"/>
  <c r="B20" i="1" s="1"/>
  <c r="C15" i="1"/>
  <c r="C16" i="1" s="1"/>
  <c r="D15" i="1"/>
  <c r="D16" i="1" s="1"/>
  <c r="B15" i="1"/>
  <c r="B16" i="1" s="1"/>
  <c r="C13" i="1"/>
  <c r="C14" i="1" s="1"/>
  <c r="D13" i="1"/>
  <c r="D14" i="1" s="1"/>
  <c r="B13" i="1"/>
  <c r="B14" i="1" s="1"/>
  <c r="C4" i="1"/>
  <c r="D4" i="1" s="1"/>
  <c r="M14" i="1" l="1"/>
  <c r="M20" i="1"/>
  <c r="F19" i="1"/>
  <c r="F20" i="1" s="1"/>
  <c r="F21" i="1"/>
  <c r="F22" i="1" s="1"/>
  <c r="F15" i="1"/>
  <c r="F16" i="1" s="1"/>
  <c r="F13" i="1"/>
  <c r="F14" i="1" s="1"/>
</calcChain>
</file>

<file path=xl/sharedStrings.xml><?xml version="1.0" encoding="utf-8"?>
<sst xmlns="http://schemas.openxmlformats.org/spreadsheetml/2006/main" count="36" uniqueCount="33">
  <si>
    <t>Faturamento</t>
  </si>
  <si>
    <t>Meses</t>
  </si>
  <si>
    <t>Gorjeta</t>
  </si>
  <si>
    <t>Couvert</t>
  </si>
  <si>
    <t>IRPJ (s Gorj. e Couv.)</t>
  </si>
  <si>
    <t>IRPJ (s Gorj.)</t>
  </si>
  <si>
    <t>CSLL (s Gorj.)</t>
  </si>
  <si>
    <t>CSLL (s Gorj. e Couv.)</t>
  </si>
  <si>
    <t>Valor de Gorjeta declarado</t>
  </si>
  <si>
    <t>Valor do Couverrt declarado</t>
  </si>
  <si>
    <t>Bebidas Frias</t>
  </si>
  <si>
    <t>Valor de bebidas frias (refrigerantes, cervejas, águas, drinks, etc)</t>
  </si>
  <si>
    <t>COFINS</t>
  </si>
  <si>
    <t>Simulador IRPJ, CSLL, ICMS, COFINS, PIS</t>
  </si>
  <si>
    <t>ICMS (estadual)</t>
  </si>
  <si>
    <t>Faturamento total de notas declarado, somando a gorjeta e couvert</t>
  </si>
  <si>
    <r>
      <t xml:space="preserve">IRPJ </t>
    </r>
    <r>
      <rPr>
        <sz val="10"/>
        <color theme="0"/>
        <rFont val="Calibri"/>
        <family val="2"/>
        <scheme val="minor"/>
      </rPr>
      <t>Trimestral</t>
    </r>
  </si>
  <si>
    <r>
      <t xml:space="preserve">CSLL </t>
    </r>
    <r>
      <rPr>
        <sz val="10"/>
        <color theme="0"/>
        <rFont val="Calibri"/>
        <family val="2"/>
        <scheme val="minor"/>
      </rPr>
      <t>Trimestral</t>
    </r>
  </si>
  <si>
    <r>
      <t xml:space="preserve">ICMS </t>
    </r>
    <r>
      <rPr>
        <sz val="10"/>
        <color theme="0"/>
        <rFont val="Calibri"/>
        <family val="2"/>
        <scheme val="minor"/>
      </rPr>
      <t>Mensal</t>
    </r>
  </si>
  <si>
    <r>
      <t xml:space="preserve">COFINS </t>
    </r>
    <r>
      <rPr>
        <sz val="10"/>
        <color theme="0"/>
        <rFont val="Calibri"/>
        <family val="2"/>
        <scheme val="minor"/>
      </rPr>
      <t>Mensal</t>
    </r>
  </si>
  <si>
    <r>
      <t xml:space="preserve">PIS </t>
    </r>
    <r>
      <rPr>
        <sz val="10"/>
        <color theme="0"/>
        <rFont val="Calibri"/>
        <family val="2"/>
        <scheme val="minor"/>
      </rPr>
      <t>Mensal</t>
    </r>
  </si>
  <si>
    <t>Dia 20</t>
  </si>
  <si>
    <t>Dia 25</t>
  </si>
  <si>
    <t>Ao final do trimestre ou Cotas</t>
  </si>
  <si>
    <t>&lt; 0,65 %</t>
  </si>
  <si>
    <t>= 2%</t>
  </si>
  <si>
    <t>&lt; 3 %</t>
  </si>
  <si>
    <t>&lt; 1,08 %</t>
  </si>
  <si>
    <t>&lt; 2 %</t>
  </si>
  <si>
    <r>
      <t xml:space="preserve">Ajuste IRPJ </t>
    </r>
    <r>
      <rPr>
        <sz val="10"/>
        <color theme="0"/>
        <rFont val="Calibri"/>
        <family val="2"/>
        <scheme val="minor"/>
      </rPr>
      <t>Trimestral</t>
    </r>
  </si>
  <si>
    <t>Valor pago ao final do trimestre</t>
  </si>
  <si>
    <r>
      <t xml:space="preserve">Ajuste CSLL </t>
    </r>
    <r>
      <rPr>
        <sz val="10"/>
        <color theme="0"/>
        <rFont val="Calibri"/>
        <family val="2"/>
        <scheme val="minor"/>
      </rPr>
      <t>Trimestral</t>
    </r>
  </si>
  <si>
    <t>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</si>
</sst>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0.00%;;&quot;-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8" fontId="0" fillId="0" borderId="0" xfId="0" applyNumberFormat="1"/>
    <xf numFmtId="0" fontId="0" fillId="0" borderId="1" xfId="0" applyBorder="1"/>
    <xf numFmtId="17" fontId="0" fillId="0" borderId="0" xfId="0" applyNumberFormat="1" applyAlignment="1">
      <alignment horizontal="center"/>
    </xf>
    <xf numFmtId="8" fontId="1" fillId="0" borderId="0" xfId="0" applyNumberFormat="1" applyFont="1"/>
    <xf numFmtId="0" fontId="0" fillId="3" borderId="0" xfId="0" applyFill="1"/>
    <xf numFmtId="0" fontId="4" fillId="3" borderId="0" xfId="0" applyFont="1" applyFill="1" applyAlignment="1">
      <alignment horizontal="left" indent="1"/>
    </xf>
    <xf numFmtId="10" fontId="3" fillId="0" borderId="0" xfId="0" applyNumberFormat="1" applyFont="1" applyAlignment="1">
      <alignment horizontal="right"/>
    </xf>
    <xf numFmtId="8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8" fontId="0" fillId="2" borderId="2" xfId="0" applyNumberFormat="1" applyFill="1" applyBorder="1" applyAlignment="1">
      <alignment horizontal="center"/>
    </xf>
    <xf numFmtId="0" fontId="6" fillId="0" borderId="0" xfId="0" applyFont="1"/>
    <xf numFmtId="8" fontId="1" fillId="0" borderId="0" xfId="0" applyNumberFormat="1" applyFont="1" applyAlignment="1">
      <alignment horizontal="center"/>
    </xf>
    <xf numFmtId="10" fontId="3" fillId="0" borderId="1" xfId="0" applyNumberFormat="1" applyFont="1" applyBorder="1" applyAlignment="1">
      <alignment horizontal="right"/>
    </xf>
    <xf numFmtId="8" fontId="0" fillId="0" borderId="1" xfId="0" applyNumberForma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 indent="1"/>
    </xf>
    <xf numFmtId="0" fontId="3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164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7" fillId="3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0" fontId="3" fillId="4" borderId="1" xfId="0" applyNumberFormat="1" applyFont="1" applyFill="1" applyBorder="1" applyAlignment="1">
      <alignment horizontal="right"/>
    </xf>
    <xf numFmtId="8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IZZI">
  <a:themeElements>
    <a:clrScheme name="Personalizada 4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B4AE0"/>
      </a:accent1>
      <a:accent2>
        <a:srgbClr val="39C1FA"/>
      </a:accent2>
      <a:accent3>
        <a:srgbClr val="0E2F60"/>
      </a:accent3>
      <a:accent4>
        <a:srgbClr val="F2F5EB"/>
      </a:accent4>
      <a:accent5>
        <a:srgbClr val="FFFFFF"/>
      </a:accent5>
      <a:accent6>
        <a:srgbClr val="AFBAF3"/>
      </a:accent6>
      <a:hlink>
        <a:srgbClr val="5B9BD5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_Izzi_ppt" id="{AC97BAE7-9745-4E6E-A7F0-267F49F5AE26}" vid="{88FD3663-C833-4A1C-A8B9-4199C09AF46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C30D-27A9-4C84-87E3-BF21DED75060}">
  <dimension ref="A2:O32"/>
  <sheetViews>
    <sheetView showGridLines="0" tabSelected="1" zoomScale="115" zoomScaleNormal="115" workbookViewId="0">
      <selection activeCell="I15" sqref="I15"/>
    </sheetView>
  </sheetViews>
  <sheetFormatPr defaultRowHeight="14.4" x14ac:dyDescent="0.3"/>
  <cols>
    <col min="1" max="1" width="19.33203125" bestFit="1" customWidth="1"/>
    <col min="2" max="4" width="15.44140625" customWidth="1"/>
    <col min="5" max="5" width="4.109375" customWidth="1"/>
    <col min="6" max="6" width="14.109375" bestFit="1" customWidth="1"/>
    <col min="7" max="7" width="11.6640625" customWidth="1"/>
    <col min="11" max="11" width="18.33203125" bestFit="1" customWidth="1"/>
    <col min="13" max="15" width="12.6640625" customWidth="1"/>
  </cols>
  <sheetData>
    <row r="2" spans="1:15" x14ac:dyDescent="0.3">
      <c r="A2" s="6" t="s">
        <v>13</v>
      </c>
      <c r="B2" s="5"/>
      <c r="C2" s="5"/>
      <c r="D2" s="5"/>
      <c r="E2" s="5"/>
      <c r="F2" s="5"/>
      <c r="G2" s="5"/>
      <c r="H2" s="5"/>
      <c r="I2" s="5"/>
    </row>
    <row r="4" spans="1:15" x14ac:dyDescent="0.3">
      <c r="A4" s="17" t="s">
        <v>1</v>
      </c>
      <c r="B4" s="3">
        <v>46023</v>
      </c>
      <c r="C4" s="3">
        <f>EDATE(B4,1)</f>
        <v>46054</v>
      </c>
      <c r="D4" s="3">
        <f>EDATE(C4,1)</f>
        <v>46082</v>
      </c>
      <c r="G4" s="1"/>
    </row>
    <row r="5" spans="1:15" x14ac:dyDescent="0.3">
      <c r="A5" s="18"/>
      <c r="D5" s="3"/>
      <c r="G5" s="1"/>
    </row>
    <row r="6" spans="1:15" x14ac:dyDescent="0.3">
      <c r="A6" s="17" t="s">
        <v>0</v>
      </c>
      <c r="B6" s="10">
        <v>1794982.46</v>
      </c>
      <c r="C6" s="10"/>
      <c r="D6" s="10"/>
      <c r="F6" s="11" t="s">
        <v>15</v>
      </c>
    </row>
    <row r="7" spans="1:15" x14ac:dyDescent="0.3">
      <c r="A7" s="16"/>
      <c r="B7" s="8"/>
      <c r="C7" s="8"/>
      <c r="D7" s="8"/>
      <c r="F7" s="11"/>
    </row>
    <row r="8" spans="1:15" x14ac:dyDescent="0.3">
      <c r="A8" s="16" t="s">
        <v>2</v>
      </c>
      <c r="B8" s="10">
        <v>145964.25</v>
      </c>
      <c r="C8" s="10"/>
      <c r="D8" s="10"/>
      <c r="F8" s="11" t="s">
        <v>8</v>
      </c>
    </row>
    <row r="9" spans="1:15" x14ac:dyDescent="0.3">
      <c r="A9" s="16" t="s">
        <v>3</v>
      </c>
      <c r="B9" s="10">
        <v>375850</v>
      </c>
      <c r="C9" s="10"/>
      <c r="D9" s="10"/>
      <c r="F9" s="11" t="s">
        <v>9</v>
      </c>
    </row>
    <row r="10" spans="1:15" x14ac:dyDescent="0.3">
      <c r="A10" s="16" t="s">
        <v>10</v>
      </c>
      <c r="B10" s="10">
        <f>B6*0.4</f>
        <v>717992.98400000005</v>
      </c>
      <c r="C10" s="10"/>
      <c r="D10" s="10"/>
      <c r="F10" s="11" t="s">
        <v>11</v>
      </c>
    </row>
    <row r="12" spans="1:15" x14ac:dyDescent="0.3">
      <c r="F12" s="21" t="s">
        <v>16</v>
      </c>
      <c r="G12" s="22" t="s">
        <v>23</v>
      </c>
      <c r="K12" s="21" t="s">
        <v>29</v>
      </c>
      <c r="M12" s="3">
        <v>45931</v>
      </c>
      <c r="N12" s="3">
        <f>EDATE(M12,1)</f>
        <v>45962</v>
      </c>
      <c r="O12" s="3">
        <f>EDATE(N12,1)</f>
        <v>45992</v>
      </c>
    </row>
    <row r="13" spans="1:15" x14ac:dyDescent="0.3">
      <c r="A13" s="13" t="s">
        <v>5</v>
      </c>
      <c r="B13" s="14">
        <f>((B$6-B$8)*1.2%)+
  (IF(((B$6-B$8)-250000)*0.8%&lt;0,0,((B$6-B$8)-250000)*0.8%))</f>
        <v>30980.364199999996</v>
      </c>
      <c r="C13" s="14">
        <f t="shared" ref="C13:D13" si="0">((C$6-C$8)*1.2%)+
  (IF(((C$6-C$8)-250000)*0.8%&lt;0,0,((C$6-C$8)-250000)*0.8%))</f>
        <v>0</v>
      </c>
      <c r="D13" s="14">
        <f t="shared" si="0"/>
        <v>0</v>
      </c>
      <c r="E13" s="2"/>
      <c r="F13" s="15">
        <f>SUM(B13:D13)</f>
        <v>30980.364199999996</v>
      </c>
      <c r="G13" s="23"/>
      <c r="K13" s="10"/>
      <c r="M13" s="8">
        <f>($K$13/SUM($B$6:$D$6))*B$6</f>
        <v>0</v>
      </c>
      <c r="N13" s="8">
        <f t="shared" ref="N13:O13" si="1">($K$13/SUM($B$6:$D$6))*C$6</f>
        <v>0</v>
      </c>
      <c r="O13" s="8">
        <f t="shared" si="1"/>
        <v>0</v>
      </c>
    </row>
    <row r="14" spans="1:15" x14ac:dyDescent="0.3">
      <c r="A14" s="7"/>
      <c r="B14" s="9">
        <f>IFERROR(B13/B$6,0)</f>
        <v>1.7259424473707669E-2</v>
      </c>
      <c r="C14" s="9">
        <f t="shared" ref="C14:D14" si="2">IFERROR(C13/C$6,0)</f>
        <v>0</v>
      </c>
      <c r="D14" s="9">
        <f t="shared" si="2"/>
        <v>0</v>
      </c>
      <c r="F14" s="9">
        <f>IFERROR(F13/SUM($B$6:$D$6),0)</f>
        <v>1.7259424473707669E-2</v>
      </c>
      <c r="G14" s="23"/>
      <c r="H14" s="25" t="s">
        <v>28</v>
      </c>
      <c r="K14" s="24" t="s">
        <v>30</v>
      </c>
      <c r="M14" s="26">
        <f>SUM(M$13:O$13)/SUM($B$6:$D$6)</f>
        <v>0</v>
      </c>
      <c r="N14" s="26"/>
      <c r="O14" s="26"/>
    </row>
    <row r="15" spans="1:15" x14ac:dyDescent="0.3">
      <c r="A15" s="27" t="s">
        <v>4</v>
      </c>
      <c r="B15" s="28">
        <f>((B$6-SUM(B8:B9))*1.2%)+
(IF(((B$6-SUM(B8:B9))-250000)*0.8%&lt;0,0,((B$6-SUM(B8:B9))-250000)*0.8%))</f>
        <v>23463.3642</v>
      </c>
      <c r="C15" s="14">
        <f>((C$6-SUM(C8:C9))*1.2%)+
(IF(((C$6-SUM(C8:C9))-250000)*0.8%&lt;0,0,((C$6-SUM(C8:C9))-250000)*0.8%))</f>
        <v>0</v>
      </c>
      <c r="D15" s="14">
        <f>((D$6-SUM(D8:D9))*1.2%)+
(IF(((D$6-SUM(D8:D9))-250000)*0.8%&lt;0,0,((D$6-SUM(D8:D9))-250000)*0.8%))</f>
        <v>0</v>
      </c>
      <c r="E15" s="2"/>
      <c r="F15" s="15">
        <f>SUM(B15:D15)</f>
        <v>23463.3642</v>
      </c>
      <c r="G15" s="23"/>
      <c r="H15" s="25"/>
    </row>
    <row r="16" spans="1:15" x14ac:dyDescent="0.3">
      <c r="A16" s="7"/>
      <c r="B16" s="9">
        <f>IFERROR(B15/B$6,0)</f>
        <v>1.3071639819811944E-2</v>
      </c>
      <c r="C16" s="9">
        <f t="shared" ref="C16" si="3">IFERROR(C15/C$6,0)</f>
        <v>0</v>
      </c>
      <c r="D16" s="9">
        <f t="shared" ref="D16" si="4">IFERROR(D15/D$6,0)</f>
        <v>0</v>
      </c>
      <c r="F16" s="9">
        <f>IFERROR(F15/SUM($B$6:$D$6),0)</f>
        <v>1.3071639819811944E-2</v>
      </c>
      <c r="G16" s="23"/>
      <c r="H16" s="25"/>
    </row>
    <row r="17" spans="1:15" x14ac:dyDescent="0.3">
      <c r="A17" s="7"/>
      <c r="B17" s="8"/>
      <c r="C17" s="8"/>
      <c r="D17" s="8"/>
      <c r="F17" s="12"/>
      <c r="G17" s="23"/>
    </row>
    <row r="18" spans="1:15" x14ac:dyDescent="0.3">
      <c r="B18" s="8"/>
      <c r="C18" s="8"/>
      <c r="D18" s="8"/>
      <c r="E18" s="4"/>
      <c r="F18" s="21" t="s">
        <v>17</v>
      </c>
      <c r="G18" s="22" t="s">
        <v>23</v>
      </c>
      <c r="K18" s="21" t="s">
        <v>31</v>
      </c>
      <c r="M18" s="3">
        <v>45931</v>
      </c>
      <c r="N18" s="3">
        <f>EDATE(M18,1)</f>
        <v>45962</v>
      </c>
      <c r="O18" s="3">
        <f>EDATE(N18,1)</f>
        <v>45992</v>
      </c>
    </row>
    <row r="19" spans="1:15" x14ac:dyDescent="0.3">
      <c r="A19" s="13" t="s">
        <v>6</v>
      </c>
      <c r="B19" s="14">
        <f>((B$6-B$8)*1.08%)</f>
        <v>17809.396668000001</v>
      </c>
      <c r="C19" s="14">
        <f t="shared" ref="C19:D19" si="5">((C$6-C$8)*1.08%)</f>
        <v>0</v>
      </c>
      <c r="D19" s="14">
        <f t="shared" si="5"/>
        <v>0</v>
      </c>
      <c r="E19" s="2"/>
      <c r="F19" s="15">
        <f>SUM(B19:D19)</f>
        <v>17809.396668000001</v>
      </c>
      <c r="G19" s="23"/>
      <c r="K19" s="10"/>
      <c r="M19" s="8">
        <f>($K$19/SUM($B$6:$D$6))*B$6</f>
        <v>0</v>
      </c>
      <c r="N19" s="8">
        <f t="shared" ref="N19:O19" si="6">($K$19/SUM($B$6:$D$6))*C$6</f>
        <v>0</v>
      </c>
      <c r="O19" s="8">
        <f t="shared" si="6"/>
        <v>0</v>
      </c>
    </row>
    <row r="20" spans="1:15" x14ac:dyDescent="0.3">
      <c r="A20" s="7"/>
      <c r="B20" s="9">
        <f>IFERROR(B19/B$6,0)</f>
        <v>9.9217664043357856E-3</v>
      </c>
      <c r="C20" s="9">
        <f t="shared" ref="C20" si="7">IFERROR(C19/C$6,0)</f>
        <v>0</v>
      </c>
      <c r="D20" s="9">
        <f t="shared" ref="D20" si="8">IFERROR(D19/D$6,0)</f>
        <v>0</v>
      </c>
      <c r="F20" s="9">
        <f>IFERROR(F19/SUM($B$6:$D$6),0)</f>
        <v>9.9217664043357856E-3</v>
      </c>
      <c r="G20" s="23"/>
      <c r="H20" s="25" t="s">
        <v>27</v>
      </c>
      <c r="K20" s="24" t="s">
        <v>30</v>
      </c>
      <c r="M20" s="26">
        <f>SUM(M$19:O$19)/SUM($B$6:$D$6)</f>
        <v>0</v>
      </c>
      <c r="N20" s="26"/>
      <c r="O20" s="26"/>
    </row>
    <row r="21" spans="1:15" x14ac:dyDescent="0.3">
      <c r="A21" s="27" t="s">
        <v>7</v>
      </c>
      <c r="B21" s="28">
        <f>((B$6-SUM(B8:B9))*1.08%)</f>
        <v>13750.216668000001</v>
      </c>
      <c r="C21" s="14">
        <f>((C$6-SUM(C8:C9))*1.08%)</f>
        <v>0</v>
      </c>
      <c r="D21" s="14">
        <f>((D$6-SUM(D8:D9))*1.08%)</f>
        <v>0</v>
      </c>
      <c r="E21" s="2"/>
      <c r="F21" s="15">
        <f>SUM(B21:D21)</f>
        <v>13750.216668000001</v>
      </c>
      <c r="G21" s="23"/>
      <c r="H21" s="25"/>
    </row>
    <row r="22" spans="1:15" x14ac:dyDescent="0.3">
      <c r="B22" s="9">
        <f>IFERROR(B21/B$6,0)</f>
        <v>7.660362691232092E-3</v>
      </c>
      <c r="C22" s="9">
        <f t="shared" ref="C22" si="9">IFERROR(C21/C$6,0)</f>
        <v>0</v>
      </c>
      <c r="D22" s="9">
        <f t="shared" ref="D22" si="10">IFERROR(D21/D$6,0)</f>
        <v>0</v>
      </c>
      <c r="F22" s="9">
        <f>IFERROR(F21/SUM($B$6:$D$6),0)</f>
        <v>7.660362691232092E-3</v>
      </c>
      <c r="G22" s="23"/>
      <c r="H22" s="25"/>
    </row>
    <row r="23" spans="1:15" x14ac:dyDescent="0.3">
      <c r="G23" s="23"/>
    </row>
    <row r="24" spans="1:15" x14ac:dyDescent="0.3">
      <c r="B24" s="8"/>
      <c r="C24" s="8"/>
      <c r="D24" s="8"/>
      <c r="E24" s="4"/>
      <c r="G24" s="23"/>
      <c r="K24" s="1"/>
      <c r="L24" s="1"/>
      <c r="M24" s="1"/>
    </row>
    <row r="25" spans="1:15" x14ac:dyDescent="0.3">
      <c r="A25" s="27" t="s">
        <v>14</v>
      </c>
      <c r="B25" s="28">
        <f>B$6*2%</f>
        <v>35899.6492</v>
      </c>
      <c r="C25" s="14">
        <f t="shared" ref="C25:D25" si="11">C$6*2%</f>
        <v>0</v>
      </c>
      <c r="D25" s="14">
        <f t="shared" si="11"/>
        <v>0</v>
      </c>
      <c r="E25" s="2"/>
      <c r="F25" s="21" t="s">
        <v>18</v>
      </c>
      <c r="G25" s="22" t="s">
        <v>21</v>
      </c>
      <c r="H25" s="22" t="s">
        <v>25</v>
      </c>
      <c r="K25" s="1"/>
      <c r="L25" s="1"/>
      <c r="M25" s="1"/>
    </row>
    <row r="26" spans="1:15" x14ac:dyDescent="0.3">
      <c r="A26" s="7"/>
      <c r="B26" s="9">
        <f>IFERROR(B25/B$6,0)</f>
        <v>0.02</v>
      </c>
      <c r="C26" s="9">
        <f t="shared" ref="C26:D26" si="12">IFERROR(C25/C$6,0)</f>
        <v>0</v>
      </c>
      <c r="D26" s="9">
        <f t="shared" si="12"/>
        <v>0</v>
      </c>
      <c r="F26" s="19"/>
      <c r="G26" s="22"/>
      <c r="H26" s="22"/>
      <c r="K26" s="1"/>
      <c r="L26" s="1"/>
      <c r="M26" s="1"/>
    </row>
    <row r="27" spans="1:15" x14ac:dyDescent="0.3">
      <c r="F27" s="20"/>
      <c r="G27" s="22"/>
      <c r="H27" s="22"/>
    </row>
    <row r="28" spans="1:15" x14ac:dyDescent="0.3">
      <c r="A28" s="27" t="s">
        <v>12</v>
      </c>
      <c r="B28" s="28">
        <f>(B$6-SUM(B$8:B$10))*3%</f>
        <v>16655.256779999992</v>
      </c>
      <c r="C28" s="14">
        <f t="shared" ref="C28:D28" si="13">(C$6-SUM(C$8:C$10))*3%</f>
        <v>0</v>
      </c>
      <c r="D28" s="14">
        <f t="shared" si="13"/>
        <v>0</v>
      </c>
      <c r="E28" s="14"/>
      <c r="F28" s="21" t="s">
        <v>19</v>
      </c>
      <c r="G28" s="22" t="s">
        <v>22</v>
      </c>
      <c r="H28" s="22" t="s">
        <v>26</v>
      </c>
    </row>
    <row r="29" spans="1:15" x14ac:dyDescent="0.3">
      <c r="A29" s="7"/>
      <c r="B29" s="9">
        <f>IFERROR(B28/B$6,0)</f>
        <v>9.2787852534224717E-3</v>
      </c>
      <c r="C29" s="9">
        <f t="shared" ref="C29:D29" si="14">IFERROR(C28/C$6,0)</f>
        <v>0</v>
      </c>
      <c r="D29" s="9">
        <f t="shared" si="14"/>
        <v>0</v>
      </c>
      <c r="F29" s="19"/>
      <c r="G29" s="22"/>
      <c r="H29" s="22"/>
    </row>
    <row r="30" spans="1:15" x14ac:dyDescent="0.3">
      <c r="F30" s="20"/>
      <c r="G30" s="22"/>
      <c r="H30" s="22"/>
    </row>
    <row r="31" spans="1:15" x14ac:dyDescent="0.3">
      <c r="A31" s="27" t="s">
        <v>32</v>
      </c>
      <c r="B31" s="28">
        <f>(B$6-SUM(B$8:B$10))*0.65%</f>
        <v>3608.6389689999992</v>
      </c>
      <c r="C31" s="14">
        <f t="shared" ref="C31:D31" si="15">(C$6-SUM(C$8:C$10))*0.65%</f>
        <v>0</v>
      </c>
      <c r="D31" s="14">
        <f t="shared" si="15"/>
        <v>0</v>
      </c>
      <c r="E31" s="2"/>
      <c r="F31" s="21" t="s">
        <v>20</v>
      </c>
      <c r="G31" s="22" t="s">
        <v>22</v>
      </c>
      <c r="H31" s="22" t="s">
        <v>24</v>
      </c>
    </row>
    <row r="32" spans="1:15" x14ac:dyDescent="0.3">
      <c r="A32" s="7"/>
      <c r="B32" s="9">
        <f>IFERROR(B31/B$6,0)</f>
        <v>2.0104034715748694E-3</v>
      </c>
      <c r="C32" s="9">
        <f t="shared" ref="C32:D32" si="16">IFERROR(C31/C$6,0)</f>
        <v>0</v>
      </c>
      <c r="D32" s="9">
        <f t="shared" si="16"/>
        <v>0</v>
      </c>
      <c r="F32" s="9"/>
    </row>
  </sheetData>
  <mergeCells count="4">
    <mergeCell ref="H20:H22"/>
    <mergeCell ref="H14:H16"/>
    <mergeCell ref="M14:O14"/>
    <mergeCell ref="M20:O20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Vieira</dc:creator>
  <cp:lastModifiedBy>Pedro Gonzalez</cp:lastModifiedBy>
  <dcterms:created xsi:type="dcterms:W3CDTF">2024-10-21T14:02:42Z</dcterms:created>
  <dcterms:modified xsi:type="dcterms:W3CDTF">2026-07-07T00:49:59Z</dcterms:modified>
</cp:coreProperties>
</file>