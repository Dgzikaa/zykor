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s compartilhados\3. Diagnóstico Fiscal\1. Modelo\"/>
    </mc:Choice>
  </mc:AlternateContent>
  <xr:revisionPtr revIDLastSave="0" documentId="13_ncr:1_{BF04DBFD-3BA0-4DA0-A416-98202BC0E7B8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Simples" sheetId="16" r:id="rId1"/>
    <sheet name="Tabelas SN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4" i="8" l="1"/>
  <c r="E65" i="8" s="1"/>
  <c r="E64" i="8"/>
  <c r="E63" i="8"/>
  <c r="F62" i="8"/>
  <c r="E62" i="8"/>
  <c r="E61" i="8"/>
  <c r="BA15" i="16" l="1"/>
  <c r="BB6" i="16"/>
  <c r="M17" i="16" l="1"/>
  <c r="H14" i="8" l="1"/>
  <c r="H16" i="8" l="1"/>
  <c r="I16" i="8"/>
  <c r="J16" i="8"/>
  <c r="BB27" i="16" l="1"/>
  <c r="AP15" i="16"/>
  <c r="AP16" i="16"/>
  <c r="AP17" i="16"/>
  <c r="AP18" i="16"/>
  <c r="AP19" i="16"/>
  <c r="AP20" i="16"/>
  <c r="AP21" i="16"/>
  <c r="AP22" i="16"/>
  <c r="AP25" i="16"/>
  <c r="AP30" i="16"/>
  <c r="AP24" i="16" s="1"/>
  <c r="AP54" i="16" s="1"/>
  <c r="AP56" i="16" s="1"/>
  <c r="AP55" i="16" s="1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Q15" i="16"/>
  <c r="AR15" i="16"/>
  <c r="AS15" i="16"/>
  <c r="AT15" i="16"/>
  <c r="AU15" i="16"/>
  <c r="AV15" i="16"/>
  <c r="AW15" i="16"/>
  <c r="AX15" i="16"/>
  <c r="AY15" i="16"/>
  <c r="AZ15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Q16" i="16"/>
  <c r="AR16" i="16"/>
  <c r="AS16" i="16"/>
  <c r="AT16" i="16"/>
  <c r="AU16" i="16"/>
  <c r="AV16" i="16"/>
  <c r="AW16" i="16"/>
  <c r="AX16" i="16"/>
  <c r="AY16" i="16"/>
  <c r="AZ16" i="16"/>
  <c r="BA16" i="16"/>
  <c r="D17" i="16"/>
  <c r="E17" i="16"/>
  <c r="F17" i="16"/>
  <c r="G17" i="16"/>
  <c r="H17" i="16"/>
  <c r="I17" i="16"/>
  <c r="J17" i="16"/>
  <c r="K17" i="16"/>
  <c r="L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Q17" i="16"/>
  <c r="AR17" i="16"/>
  <c r="AS17" i="16"/>
  <c r="AT17" i="16"/>
  <c r="AU17" i="16"/>
  <c r="AV17" i="16"/>
  <c r="AW17" i="16"/>
  <c r="AX17" i="16"/>
  <c r="AY17" i="16"/>
  <c r="AZ17" i="16"/>
  <c r="BA17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Q18" i="16"/>
  <c r="AR18" i="16"/>
  <c r="AS18" i="16"/>
  <c r="AT18" i="16"/>
  <c r="AU18" i="16"/>
  <c r="AV18" i="16"/>
  <c r="AW18" i="16"/>
  <c r="AX18" i="16"/>
  <c r="AY18" i="16"/>
  <c r="AZ18" i="16"/>
  <c r="BA18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Q19" i="16"/>
  <c r="AR19" i="16"/>
  <c r="AS19" i="16"/>
  <c r="AT19" i="16"/>
  <c r="AU19" i="16"/>
  <c r="AV19" i="16"/>
  <c r="AW19" i="16"/>
  <c r="AX19" i="16"/>
  <c r="AY19" i="16"/>
  <c r="AZ19" i="16"/>
  <c r="BA19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Q20" i="16"/>
  <c r="AR20" i="16"/>
  <c r="AS20" i="16"/>
  <c r="AT20" i="16"/>
  <c r="AU20" i="16"/>
  <c r="AV20" i="16"/>
  <c r="AW20" i="16"/>
  <c r="AX20" i="16"/>
  <c r="AY20" i="16"/>
  <c r="AZ20" i="16"/>
  <c r="BA20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Q21" i="16"/>
  <c r="AR21" i="16"/>
  <c r="AS21" i="16"/>
  <c r="AT21" i="16"/>
  <c r="AU21" i="16"/>
  <c r="AV21" i="16"/>
  <c r="AW21" i="16"/>
  <c r="AX21" i="16"/>
  <c r="AY21" i="16"/>
  <c r="AZ21" i="16"/>
  <c r="BA21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Q22" i="16"/>
  <c r="AR22" i="16"/>
  <c r="AS22" i="16"/>
  <c r="AT22" i="16"/>
  <c r="AU22" i="16"/>
  <c r="AV22" i="16"/>
  <c r="AW22" i="16"/>
  <c r="AX22" i="16"/>
  <c r="AY22" i="16"/>
  <c r="AZ22" i="16"/>
  <c r="BA22" i="16"/>
  <c r="C16" i="16"/>
  <c r="C17" i="16"/>
  <c r="C18" i="16"/>
  <c r="C19" i="16"/>
  <c r="C20" i="16"/>
  <c r="C21" i="16"/>
  <c r="C22" i="16"/>
  <c r="C15" i="16"/>
  <c r="E33" i="16"/>
  <c r="D33" i="16"/>
  <c r="C33" i="16"/>
  <c r="E30" i="16"/>
  <c r="E24" i="16" s="1"/>
  <c r="E54" i="16" s="1"/>
  <c r="E56" i="16" s="1"/>
  <c r="E55" i="16" s="1"/>
  <c r="D30" i="16"/>
  <c r="D24" i="16" s="1"/>
  <c r="D54" i="16" s="1"/>
  <c r="D56" i="16" s="1"/>
  <c r="D55" i="16" s="1"/>
  <c r="C30" i="16"/>
  <c r="C24" i="16" s="1"/>
  <c r="C54" i="16" s="1"/>
  <c r="C56" i="16" s="1"/>
  <c r="C55" i="16" s="1"/>
  <c r="E29" i="16"/>
  <c r="D29" i="16"/>
  <c r="C29" i="16"/>
  <c r="E25" i="16"/>
  <c r="D25" i="16"/>
  <c r="C25" i="16"/>
  <c r="L33" i="16"/>
  <c r="K33" i="16"/>
  <c r="J33" i="16"/>
  <c r="I33" i="16"/>
  <c r="H33" i="16"/>
  <c r="G33" i="16"/>
  <c r="F33" i="16"/>
  <c r="L30" i="16"/>
  <c r="L24" i="16" s="1"/>
  <c r="L54" i="16" s="1"/>
  <c r="L56" i="16" s="1"/>
  <c r="L55" i="16" s="1"/>
  <c r="K30" i="16"/>
  <c r="K24" i="16" s="1"/>
  <c r="K54" i="16" s="1"/>
  <c r="K56" i="16" s="1"/>
  <c r="K55" i="16" s="1"/>
  <c r="J30" i="16"/>
  <c r="J24" i="16" s="1"/>
  <c r="J54" i="16" s="1"/>
  <c r="J56" i="16" s="1"/>
  <c r="J55" i="16" s="1"/>
  <c r="I30" i="16"/>
  <c r="I24" i="16" s="1"/>
  <c r="I54" i="16" s="1"/>
  <c r="I56" i="16" s="1"/>
  <c r="I55" i="16" s="1"/>
  <c r="H30" i="16"/>
  <c r="H24" i="16" s="1"/>
  <c r="H54" i="16" s="1"/>
  <c r="H56" i="16" s="1"/>
  <c r="H55" i="16" s="1"/>
  <c r="G30" i="16"/>
  <c r="G24" i="16" s="1"/>
  <c r="G54" i="16" s="1"/>
  <c r="G56" i="16" s="1"/>
  <c r="G55" i="16" s="1"/>
  <c r="F30" i="16"/>
  <c r="F24" i="16" s="1"/>
  <c r="F54" i="16" s="1"/>
  <c r="F56" i="16" s="1"/>
  <c r="F55" i="16" s="1"/>
  <c r="L29" i="16"/>
  <c r="K29" i="16"/>
  <c r="J29" i="16"/>
  <c r="I29" i="16"/>
  <c r="H29" i="16"/>
  <c r="G29" i="16"/>
  <c r="F29" i="16"/>
  <c r="L25" i="16"/>
  <c r="K25" i="16"/>
  <c r="J25" i="16"/>
  <c r="I25" i="16"/>
  <c r="H25" i="16"/>
  <c r="G25" i="16"/>
  <c r="F25" i="16"/>
  <c r="M29" i="16"/>
  <c r="N29" i="16"/>
  <c r="AP53" i="16" l="1"/>
  <c r="L53" i="16"/>
  <c r="E53" i="16"/>
  <c r="G53" i="16"/>
  <c r="H53" i="16"/>
  <c r="F53" i="16"/>
  <c r="I53" i="16"/>
  <c r="J53" i="16"/>
  <c r="C53" i="16"/>
  <c r="D53" i="16"/>
  <c r="BB30" i="16"/>
  <c r="BB24" i="16" s="1"/>
  <c r="BB54" i="16" s="1"/>
  <c r="BB56" i="16" s="1"/>
  <c r="BB55" i="16" s="1"/>
  <c r="K48" i="16"/>
  <c r="K49" i="16" s="1"/>
  <c r="K50" i="16" s="1"/>
  <c r="K52" i="16" s="1"/>
  <c r="K53" i="16"/>
  <c r="BC27" i="16"/>
  <c r="BB10" i="16"/>
  <c r="BB18" i="16" s="1"/>
  <c r="BC6" i="16"/>
  <c r="BB14" i="16"/>
  <c r="BB7" i="16"/>
  <c r="BB15" i="16" s="1"/>
  <c r="BB8" i="16"/>
  <c r="BB9" i="16"/>
  <c r="BB11" i="16"/>
  <c r="BB12" i="16"/>
  <c r="BB13" i="16"/>
  <c r="D48" i="16"/>
  <c r="D49" i="16" s="1"/>
  <c r="D50" i="16" s="1"/>
  <c r="D52" i="16" s="1"/>
  <c r="D38" i="16"/>
  <c r="D39" i="16" s="1"/>
  <c r="D40" i="16" s="1"/>
  <c r="D46" i="16" s="1"/>
  <c r="D47" i="16" s="1"/>
  <c r="C38" i="16"/>
  <c r="C39" i="16" s="1"/>
  <c r="C40" i="16" s="1"/>
  <c r="C46" i="16" s="1"/>
  <c r="C47" i="16" s="1"/>
  <c r="C48" i="16"/>
  <c r="C49" i="16" s="1"/>
  <c r="C50" i="16" s="1"/>
  <c r="C52" i="16" s="1"/>
  <c r="E38" i="16"/>
  <c r="E39" i="16" s="1"/>
  <c r="E40" i="16" s="1"/>
  <c r="E46" i="16" s="1"/>
  <c r="E47" i="16" s="1"/>
  <c r="E48" i="16"/>
  <c r="E49" i="16" s="1"/>
  <c r="E50" i="16" s="1"/>
  <c r="E52" i="16" s="1"/>
  <c r="K38" i="16"/>
  <c r="K39" i="16" s="1"/>
  <c r="K40" i="16" s="1"/>
  <c r="K46" i="16" s="1"/>
  <c r="K47" i="16" s="1"/>
  <c r="F38" i="16"/>
  <c r="F39" i="16" s="1"/>
  <c r="F40" i="16" s="1"/>
  <c r="F46" i="16" s="1"/>
  <c r="F47" i="16" s="1"/>
  <c r="F48" i="16"/>
  <c r="F49" i="16" s="1"/>
  <c r="F50" i="16" s="1"/>
  <c r="F52" i="16" s="1"/>
  <c r="G38" i="16"/>
  <c r="G39" i="16" s="1"/>
  <c r="G40" i="16" s="1"/>
  <c r="G46" i="16" s="1"/>
  <c r="G47" i="16" s="1"/>
  <c r="G48" i="16"/>
  <c r="G49" i="16" s="1"/>
  <c r="G50" i="16" s="1"/>
  <c r="G52" i="16" s="1"/>
  <c r="H38" i="16"/>
  <c r="H39" i="16" s="1"/>
  <c r="H40" i="16" s="1"/>
  <c r="H46" i="16" s="1"/>
  <c r="H47" i="16" s="1"/>
  <c r="H48" i="16"/>
  <c r="H49" i="16" s="1"/>
  <c r="H50" i="16" s="1"/>
  <c r="H52" i="16" s="1"/>
  <c r="I38" i="16"/>
  <c r="I39" i="16" s="1"/>
  <c r="I40" i="16" s="1"/>
  <c r="I46" i="16" s="1"/>
  <c r="I47" i="16" s="1"/>
  <c r="I48" i="16"/>
  <c r="I49" i="16" s="1"/>
  <c r="I50" i="16" s="1"/>
  <c r="I52" i="16" s="1"/>
  <c r="J38" i="16"/>
  <c r="J39" i="16" s="1"/>
  <c r="J40" i="16" s="1"/>
  <c r="J46" i="16" s="1"/>
  <c r="J47" i="16" s="1"/>
  <c r="J48" i="16"/>
  <c r="J49" i="16" s="1"/>
  <c r="J50" i="16" s="1"/>
  <c r="J52" i="16" s="1"/>
  <c r="L38" i="16"/>
  <c r="L39" i="16" s="1"/>
  <c r="L40" i="16" s="1"/>
  <c r="L46" i="16" s="1"/>
  <c r="L47" i="16" s="1"/>
  <c r="L48" i="16"/>
  <c r="L49" i="16" s="1"/>
  <c r="L50" i="16" s="1"/>
  <c r="L52" i="16" s="1"/>
  <c r="BB38" i="16" l="1"/>
  <c r="BB39" i="16" s="1"/>
  <c r="BB40" i="16" s="1"/>
  <c r="BB46" i="16" s="1"/>
  <c r="BB47" i="16" s="1"/>
  <c r="K51" i="16"/>
  <c r="BB48" i="16"/>
  <c r="BB49" i="16" s="1"/>
  <c r="BB50" i="16" s="1"/>
  <c r="BB51" i="16" s="1"/>
  <c r="BB53" i="16"/>
  <c r="BC30" i="16"/>
  <c r="BC24" i="16" s="1"/>
  <c r="BC54" i="16" s="1"/>
  <c r="BC56" i="16" s="1"/>
  <c r="BC55" i="16" s="1"/>
  <c r="BD27" i="16"/>
  <c r="BC10" i="16"/>
  <c r="BC18" i="16" s="1"/>
  <c r="BB22" i="16"/>
  <c r="BC14" i="16" s="1"/>
  <c r="BC22" i="16" s="1"/>
  <c r="BD6" i="16"/>
  <c r="BC7" i="16"/>
  <c r="BB16" i="16"/>
  <c r="BC8" i="16" s="1"/>
  <c r="BB17" i="16"/>
  <c r="BC9" i="16" s="1"/>
  <c r="BB20" i="16"/>
  <c r="BB19" i="16"/>
  <c r="BB25" i="16"/>
  <c r="BB21" i="16"/>
  <c r="E51" i="16"/>
  <c r="E44" i="16"/>
  <c r="E45" i="16" s="1"/>
  <c r="E41" i="16"/>
  <c r="E42" i="16"/>
  <c r="C44" i="16"/>
  <c r="C45" i="16" s="1"/>
  <c r="C42" i="16"/>
  <c r="C43" i="16" s="1"/>
  <c r="C41" i="16"/>
  <c r="D42" i="16"/>
  <c r="D41" i="16"/>
  <c r="D44" i="16"/>
  <c r="D45" i="16" s="1"/>
  <c r="D51" i="16"/>
  <c r="C51" i="16"/>
  <c r="J51" i="16"/>
  <c r="I44" i="16"/>
  <c r="I45" i="16" s="1"/>
  <c r="I42" i="16"/>
  <c r="I41" i="16"/>
  <c r="L51" i="16"/>
  <c r="F44" i="16"/>
  <c r="F45" i="16" s="1"/>
  <c r="F42" i="16"/>
  <c r="F41" i="16"/>
  <c r="H44" i="16"/>
  <c r="H45" i="16" s="1"/>
  <c r="H42" i="16"/>
  <c r="H41" i="16"/>
  <c r="K44" i="16"/>
  <c r="K45" i="16" s="1"/>
  <c r="K42" i="16"/>
  <c r="K41" i="16"/>
  <c r="I51" i="16"/>
  <c r="G44" i="16"/>
  <c r="G45" i="16" s="1"/>
  <c r="G42" i="16"/>
  <c r="G41" i="16"/>
  <c r="G51" i="16"/>
  <c r="F51" i="16"/>
  <c r="L44" i="16"/>
  <c r="L45" i="16" s="1"/>
  <c r="L42" i="16"/>
  <c r="L41" i="16"/>
  <c r="J44" i="16"/>
  <c r="J45" i="16" s="1"/>
  <c r="J42" i="16"/>
  <c r="J41" i="16"/>
  <c r="H51" i="16"/>
  <c r="O29" i="16"/>
  <c r="B16" i="16"/>
  <c r="B17" i="16"/>
  <c r="B18" i="16"/>
  <c r="B19" i="16"/>
  <c r="B20" i="16"/>
  <c r="B21" i="16"/>
  <c r="B22" i="16"/>
  <c r="B15" i="16"/>
  <c r="BA25" i="16"/>
  <c r="C37" i="16" l="1"/>
  <c r="BB41" i="16"/>
  <c r="BB42" i="16"/>
  <c r="BB43" i="16" s="1"/>
  <c r="BB44" i="16"/>
  <c r="BB45" i="16" s="1"/>
  <c r="BB52" i="16"/>
  <c r="I43" i="16"/>
  <c r="I37" i="16" s="1"/>
  <c r="H43" i="16"/>
  <c r="H37" i="16" s="1"/>
  <c r="J43" i="16"/>
  <c r="J37" i="16" s="1"/>
  <c r="G43" i="16"/>
  <c r="G37" i="16" s="1"/>
  <c r="E43" i="16"/>
  <c r="E37" i="16" s="1"/>
  <c r="F43" i="16"/>
  <c r="F37" i="16" s="1"/>
  <c r="K43" i="16"/>
  <c r="K37" i="16" s="1"/>
  <c r="D43" i="16"/>
  <c r="D37" i="16" s="1"/>
  <c r="L43" i="16"/>
  <c r="L37" i="16" s="1"/>
  <c r="BC38" i="16"/>
  <c r="BC39" i="16" s="1"/>
  <c r="BC40" i="16" s="1"/>
  <c r="BC46" i="16" s="1"/>
  <c r="BC47" i="16" s="1"/>
  <c r="BC17" i="16"/>
  <c r="BD9" i="16" s="1"/>
  <c r="BD30" i="16"/>
  <c r="BD24" i="16" s="1"/>
  <c r="BD54" i="16" s="1"/>
  <c r="BD56" i="16" s="1"/>
  <c r="BD55" i="16" s="1"/>
  <c r="BC48" i="16"/>
  <c r="BC49" i="16" s="1"/>
  <c r="BC50" i="16" s="1"/>
  <c r="BC51" i="16" s="1"/>
  <c r="BC15" i="16"/>
  <c r="BD7" i="16" s="1"/>
  <c r="BD10" i="16"/>
  <c r="BE6" i="16"/>
  <c r="BE27" i="16"/>
  <c r="BD14" i="16"/>
  <c r="BC16" i="16"/>
  <c r="BD8" i="16" s="1"/>
  <c r="BC12" i="16"/>
  <c r="BC20" i="16" s="1"/>
  <c r="BD12" i="16" s="1"/>
  <c r="BC13" i="16"/>
  <c r="BC21" i="16" s="1"/>
  <c r="BD13" i="16" s="1"/>
  <c r="BC11" i="16"/>
  <c r="BC19" i="16" s="1"/>
  <c r="BD11" i="16" s="1"/>
  <c r="P29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Q25" i="16"/>
  <c r="AR25" i="16"/>
  <c r="AS25" i="16"/>
  <c r="AT25" i="16"/>
  <c r="AU25" i="16"/>
  <c r="AV25" i="16"/>
  <c r="AW25" i="16"/>
  <c r="AX25" i="16"/>
  <c r="AY25" i="16"/>
  <c r="AZ25" i="16"/>
  <c r="AU33" i="16"/>
  <c r="AV33" i="16"/>
  <c r="AW33" i="16"/>
  <c r="AX33" i="16"/>
  <c r="AY33" i="16"/>
  <c r="AZ33" i="16"/>
  <c r="BA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BP25" i="16"/>
  <c r="BB37" i="16" l="1"/>
  <c r="BB32" i="16"/>
  <c r="BB33" i="16" s="1"/>
  <c r="BD53" i="16"/>
  <c r="BE30" i="16"/>
  <c r="BE24" i="16" s="1"/>
  <c r="BC53" i="16"/>
  <c r="BC41" i="16"/>
  <c r="BC42" i="16"/>
  <c r="BC44" i="16"/>
  <c r="BC45" i="16" s="1"/>
  <c r="BD48" i="16"/>
  <c r="BD49" i="16" s="1"/>
  <c r="BD50" i="16" s="1"/>
  <c r="BD51" i="16" s="1"/>
  <c r="BD38" i="16"/>
  <c r="BD39" i="16" s="1"/>
  <c r="BD40" i="16" s="1"/>
  <c r="BD44" i="16" s="1"/>
  <c r="BD45" i="16" s="1"/>
  <c r="BD18" i="16"/>
  <c r="BE10" i="16" s="1"/>
  <c r="BD15" i="16"/>
  <c r="BE7" i="16" s="1"/>
  <c r="BF27" i="16"/>
  <c r="BD22" i="16"/>
  <c r="BE14" i="16" s="1"/>
  <c r="BD20" i="16"/>
  <c r="BE12" i="16" s="1"/>
  <c r="BF6" i="16"/>
  <c r="BD17" i="16"/>
  <c r="BE9" i="16" s="1"/>
  <c r="BD16" i="16"/>
  <c r="BE8" i="16" s="1"/>
  <c r="BD21" i="16"/>
  <c r="BE13" i="16" s="1"/>
  <c r="BC25" i="16"/>
  <c r="BD25" i="16"/>
  <c r="BD19" i="16"/>
  <c r="BE11" i="16" s="1"/>
  <c r="BC52" i="16"/>
  <c r="Q29" i="16"/>
  <c r="BB3" i="16"/>
  <c r="BE38" i="16" l="1"/>
  <c r="BE39" i="16" s="1"/>
  <c r="BE40" i="16" s="1"/>
  <c r="BE42" i="16" s="1"/>
  <c r="BE43" i="16" s="1"/>
  <c r="BE54" i="16"/>
  <c r="BE56" i="16" s="1"/>
  <c r="BE55" i="16" s="1"/>
  <c r="BE48" i="16"/>
  <c r="BE49" i="16" s="1"/>
  <c r="BE50" i="16" s="1"/>
  <c r="BE51" i="16" s="1"/>
  <c r="BE53" i="16"/>
  <c r="BC43" i="16"/>
  <c r="BC37" i="16" s="1"/>
  <c r="BG27" i="16"/>
  <c r="BD52" i="16"/>
  <c r="BG6" i="16"/>
  <c r="BD41" i="16"/>
  <c r="BD42" i="16"/>
  <c r="BD46" i="16"/>
  <c r="BD47" i="16" s="1"/>
  <c r="BF30" i="16"/>
  <c r="BF24" i="16" s="1"/>
  <c r="BF54" i="16" s="1"/>
  <c r="BF56" i="16" s="1"/>
  <c r="BF55" i="16" s="1"/>
  <c r="BE20" i="16"/>
  <c r="BF12" i="16" s="1"/>
  <c r="BE22" i="16"/>
  <c r="BF14" i="16" s="1"/>
  <c r="BE17" i="16"/>
  <c r="BF9" i="16" s="1"/>
  <c r="BE15" i="16"/>
  <c r="BF7" i="16" s="1"/>
  <c r="BE18" i="16"/>
  <c r="BF10" i="16" s="1"/>
  <c r="BE16" i="16"/>
  <c r="BF8" i="16" s="1"/>
  <c r="BF16" i="16" s="1"/>
  <c r="BE21" i="16"/>
  <c r="BF13" i="16" s="1"/>
  <c r="BE25" i="16"/>
  <c r="BE19" i="16"/>
  <c r="BF11" i="16" s="1"/>
  <c r="BC3" i="16"/>
  <c r="R29" i="16"/>
  <c r="BB1" i="16"/>
  <c r="BB2" i="16"/>
  <c r="BA3" i="16"/>
  <c r="BE41" i="16" l="1"/>
  <c r="BE46" i="16"/>
  <c r="BE47" i="16" s="1"/>
  <c r="BE44" i="16"/>
  <c r="BE45" i="16" s="1"/>
  <c r="BE52" i="16"/>
  <c r="BC32" i="16"/>
  <c r="BC33" i="16" s="1"/>
  <c r="BF53" i="16"/>
  <c r="BG30" i="16"/>
  <c r="BG24" i="16" s="1"/>
  <c r="BG54" i="16" s="1"/>
  <c r="BG56" i="16" s="1"/>
  <c r="BG55" i="16" s="1"/>
  <c r="BD43" i="16"/>
  <c r="BD37" i="16" s="1"/>
  <c r="BH27" i="16"/>
  <c r="BF48" i="16"/>
  <c r="BF49" i="16" s="1"/>
  <c r="BF50" i="16" s="1"/>
  <c r="BF51" i="16" s="1"/>
  <c r="BG8" i="16"/>
  <c r="BH6" i="16"/>
  <c r="BF38" i="16"/>
  <c r="BF39" i="16" s="1"/>
  <c r="BF40" i="16" s="1"/>
  <c r="BF42" i="16" s="1"/>
  <c r="BF20" i="16"/>
  <c r="BG12" i="16" s="1"/>
  <c r="BF22" i="16"/>
  <c r="BG14" i="16" s="1"/>
  <c r="BF15" i="16"/>
  <c r="BG7" i="16" s="1"/>
  <c r="BF17" i="16"/>
  <c r="BG9" i="16" s="1"/>
  <c r="BF21" i="16"/>
  <c r="BG13" i="16" s="1"/>
  <c r="BF18" i="16"/>
  <c r="BG10" i="16" s="1"/>
  <c r="BF25" i="16"/>
  <c r="BF19" i="16"/>
  <c r="BG11" i="16" s="1"/>
  <c r="BC1" i="16"/>
  <c r="BD3" i="16"/>
  <c r="BC2" i="16"/>
  <c r="S29" i="16"/>
  <c r="AZ3" i="16"/>
  <c r="BA1" i="16"/>
  <c r="BA2" i="16"/>
  <c r="BE37" i="16" l="1"/>
  <c r="BE32" i="16" s="1"/>
  <c r="BD32" i="16"/>
  <c r="BD33" i="16" s="1"/>
  <c r="BG48" i="16"/>
  <c r="BG49" i="16" s="1"/>
  <c r="BG50" i="16" s="1"/>
  <c r="BG51" i="16" s="1"/>
  <c r="BH30" i="16"/>
  <c r="BH24" i="16" s="1"/>
  <c r="BH54" i="16" s="1"/>
  <c r="BH56" i="16" s="1"/>
  <c r="BH55" i="16" s="1"/>
  <c r="BG38" i="16"/>
  <c r="BG39" i="16" s="1"/>
  <c r="BG40" i="16" s="1"/>
  <c r="BG44" i="16" s="1"/>
  <c r="BG45" i="16" s="1"/>
  <c r="BG53" i="16"/>
  <c r="BF43" i="16"/>
  <c r="BF52" i="16"/>
  <c r="BI27" i="16"/>
  <c r="BG16" i="16"/>
  <c r="BH8" i="16" s="1"/>
  <c r="BI6" i="16"/>
  <c r="BG22" i="16"/>
  <c r="BH14" i="16" s="1"/>
  <c r="BF46" i="16"/>
  <c r="BF47" i="16" s="1"/>
  <c r="BF41" i="16"/>
  <c r="BF44" i="16"/>
  <c r="BF45" i="16" s="1"/>
  <c r="BG20" i="16"/>
  <c r="BH12" i="16" s="1"/>
  <c r="BG15" i="16"/>
  <c r="BH7" i="16" s="1"/>
  <c r="BG17" i="16"/>
  <c r="BH9" i="16" s="1"/>
  <c r="BG25" i="16"/>
  <c r="BG18" i="16"/>
  <c r="BH10" i="16" s="1"/>
  <c r="BG21" i="16"/>
  <c r="BH13" i="16" s="1"/>
  <c r="BG19" i="16"/>
  <c r="BH11" i="16" s="1"/>
  <c r="BD1" i="16"/>
  <c r="BE3" i="16"/>
  <c r="BD2" i="16"/>
  <c r="T29" i="16"/>
  <c r="AY3" i="16"/>
  <c r="AZ1" i="16"/>
  <c r="AZ2" i="16"/>
  <c r="BF37" i="16" l="1"/>
  <c r="BF32" i="16" s="1"/>
  <c r="BE33" i="16"/>
  <c r="BG52" i="16"/>
  <c r="BH38" i="16"/>
  <c r="BH39" i="16" s="1"/>
  <c r="BH40" i="16" s="1"/>
  <c r="BH46" i="16" s="1"/>
  <c r="BH47" i="16" s="1"/>
  <c r="BH48" i="16"/>
  <c r="BH49" i="16" s="1"/>
  <c r="BH50" i="16" s="1"/>
  <c r="BH51" i="16" s="1"/>
  <c r="BG41" i="16"/>
  <c r="BG42" i="16"/>
  <c r="BG43" i="16" s="1"/>
  <c r="BG37" i="16" s="1"/>
  <c r="BG46" i="16"/>
  <c r="BG47" i="16" s="1"/>
  <c r="BH53" i="16"/>
  <c r="BJ6" i="16"/>
  <c r="BI30" i="16"/>
  <c r="BI24" i="16" s="1"/>
  <c r="BI54" i="16" s="1"/>
  <c r="BI56" i="16" s="1"/>
  <c r="BI55" i="16" s="1"/>
  <c r="BH16" i="16"/>
  <c r="BI8" i="16" s="1"/>
  <c r="BJ27" i="16"/>
  <c r="BH15" i="16"/>
  <c r="BI7" i="16" s="1"/>
  <c r="BH22" i="16"/>
  <c r="BI14" i="16" s="1"/>
  <c r="BH20" i="16"/>
  <c r="BI12" i="16" s="1"/>
  <c r="BH17" i="16"/>
  <c r="BI9" i="16" s="1"/>
  <c r="BH19" i="16"/>
  <c r="BI11" i="16" s="1"/>
  <c r="BH18" i="16"/>
  <c r="BI10" i="16" s="1"/>
  <c r="BH21" i="16"/>
  <c r="BI13" i="16" s="1"/>
  <c r="BH25" i="16"/>
  <c r="BE1" i="16"/>
  <c r="BE2" i="16"/>
  <c r="BF3" i="16"/>
  <c r="U29" i="16"/>
  <c r="AX3" i="16"/>
  <c r="AY2" i="16"/>
  <c r="AY1" i="16"/>
  <c r="BH41" i="16" l="1"/>
  <c r="BH42" i="16"/>
  <c r="BH44" i="16"/>
  <c r="BH45" i="16" s="1"/>
  <c r="BH52" i="16"/>
  <c r="BG32" i="16"/>
  <c r="BK6" i="16"/>
  <c r="BI53" i="16"/>
  <c r="BJ30" i="16"/>
  <c r="BJ24" i="16" s="1"/>
  <c r="BJ54" i="16" s="1"/>
  <c r="BJ56" i="16" s="1"/>
  <c r="BJ55" i="16" s="1"/>
  <c r="BI48" i="16"/>
  <c r="BI49" i="16" s="1"/>
  <c r="BI50" i="16" s="1"/>
  <c r="BI51" i="16" s="1"/>
  <c r="BK27" i="16"/>
  <c r="BI38" i="16"/>
  <c r="BI39" i="16" s="1"/>
  <c r="BI40" i="16" s="1"/>
  <c r="BI41" i="16" s="1"/>
  <c r="BI16" i="16"/>
  <c r="BJ8" i="16" s="1"/>
  <c r="BI22" i="16"/>
  <c r="BJ14" i="16" s="1"/>
  <c r="BI20" i="16"/>
  <c r="BJ12" i="16" s="1"/>
  <c r="BF33" i="16"/>
  <c r="BI19" i="16"/>
  <c r="BJ11" i="16" s="1"/>
  <c r="BI21" i="16"/>
  <c r="BJ13" i="16" s="1"/>
  <c r="BI18" i="16"/>
  <c r="BJ10" i="16" s="1"/>
  <c r="BJ18" i="16" s="1"/>
  <c r="BI17" i="16"/>
  <c r="BJ9" i="16" s="1"/>
  <c r="BI15" i="16"/>
  <c r="BJ7" i="16" s="1"/>
  <c r="BI25" i="16"/>
  <c r="BF1" i="16"/>
  <c r="BF2" i="16"/>
  <c r="BG3" i="16"/>
  <c r="V29" i="16"/>
  <c r="AW3" i="16"/>
  <c r="AX1" i="16"/>
  <c r="AX2" i="16"/>
  <c r="BH43" i="16" l="1"/>
  <c r="BH37" i="16" s="1"/>
  <c r="BG33" i="16"/>
  <c r="BK10" i="16"/>
  <c r="BK18" i="16" s="1"/>
  <c r="BL27" i="16"/>
  <c r="BL6" i="16"/>
  <c r="BJ53" i="16"/>
  <c r="BJ38" i="16"/>
  <c r="BJ39" i="16" s="1"/>
  <c r="BJ40" i="16" s="1"/>
  <c r="BJ46" i="16" s="1"/>
  <c r="BJ47" i="16" s="1"/>
  <c r="BJ48" i="16"/>
  <c r="BJ49" i="16" s="1"/>
  <c r="BJ50" i="16" s="1"/>
  <c r="BJ51" i="16" s="1"/>
  <c r="BI52" i="16"/>
  <c r="BK30" i="16"/>
  <c r="BK24" i="16" s="1"/>
  <c r="BK54" i="16" s="1"/>
  <c r="BK56" i="16" s="1"/>
  <c r="BK55" i="16" s="1"/>
  <c r="BJ16" i="16"/>
  <c r="BK8" i="16" s="1"/>
  <c r="BI46" i="16"/>
  <c r="BI47" i="16" s="1"/>
  <c r="BI42" i="16"/>
  <c r="BI44" i="16"/>
  <c r="BI45" i="16" s="1"/>
  <c r="BJ19" i="16"/>
  <c r="BK11" i="16" s="1"/>
  <c r="BJ20" i="16"/>
  <c r="BK12" i="16" s="1"/>
  <c r="BJ22" i="16"/>
  <c r="BK14" i="16" s="1"/>
  <c r="BJ21" i="16"/>
  <c r="BK13" i="16" s="1"/>
  <c r="BJ15" i="16"/>
  <c r="BK7" i="16" s="1"/>
  <c r="BJ25" i="16"/>
  <c r="BJ17" i="16"/>
  <c r="BK9" i="16" s="1"/>
  <c r="BH3" i="16"/>
  <c r="BG2" i="16"/>
  <c r="BG1" i="16"/>
  <c r="W29" i="16"/>
  <c r="AV3" i="16"/>
  <c r="AW2" i="16"/>
  <c r="AW1" i="16"/>
  <c r="J12" i="8"/>
  <c r="J13" i="8"/>
  <c r="J14" i="8"/>
  <c r="J15" i="8"/>
  <c r="J11" i="8"/>
  <c r="I12" i="8"/>
  <c r="I13" i="8"/>
  <c r="I14" i="8"/>
  <c r="I15" i="8"/>
  <c r="I11" i="8"/>
  <c r="H15" i="8"/>
  <c r="H13" i="8"/>
  <c r="H12" i="8"/>
  <c r="H11" i="8"/>
  <c r="BH32" i="16" l="1"/>
  <c r="BH33" i="16" s="1"/>
  <c r="BK53" i="16"/>
  <c r="BM6" i="16"/>
  <c r="BL30" i="16"/>
  <c r="BL24" i="16" s="1"/>
  <c r="BM27" i="16"/>
  <c r="BJ52" i="16"/>
  <c r="BJ42" i="16"/>
  <c r="BL10" i="16"/>
  <c r="BJ41" i="16"/>
  <c r="BJ44" i="16"/>
  <c r="BJ45" i="16" s="1"/>
  <c r="BK20" i="16"/>
  <c r="BL12" i="16" s="1"/>
  <c r="BK48" i="16"/>
  <c r="BK49" i="16" s="1"/>
  <c r="BK50" i="16" s="1"/>
  <c r="BK51" i="16" s="1"/>
  <c r="BK38" i="16"/>
  <c r="BK39" i="16" s="1"/>
  <c r="BK40" i="16" s="1"/>
  <c r="BK41" i="16" s="1"/>
  <c r="BI43" i="16"/>
  <c r="BI37" i="16" s="1"/>
  <c r="BK16" i="16"/>
  <c r="BL8" i="16" s="1"/>
  <c r="BK19" i="16"/>
  <c r="BL11" i="16" s="1"/>
  <c r="BK21" i="16"/>
  <c r="BL13" i="16" s="1"/>
  <c r="BK22" i="16"/>
  <c r="BL14" i="16" s="1"/>
  <c r="BK15" i="16"/>
  <c r="BL7" i="16" s="1"/>
  <c r="BK17" i="16"/>
  <c r="BL9" i="16" s="1"/>
  <c r="BK25" i="16"/>
  <c r="BI3" i="16"/>
  <c r="BH1" i="16"/>
  <c r="BH2" i="16"/>
  <c r="X29" i="16"/>
  <c r="AU3" i="16"/>
  <c r="AV1" i="16"/>
  <c r="AV2" i="16"/>
  <c r="BI32" i="16" l="1"/>
  <c r="BI33" i="16" s="1"/>
  <c r="BL38" i="16"/>
  <c r="BL39" i="16" s="1"/>
  <c r="BL40" i="16" s="1"/>
  <c r="BL46" i="16" s="1"/>
  <c r="BL47" i="16" s="1"/>
  <c r="BL54" i="16"/>
  <c r="BL56" i="16" s="1"/>
  <c r="BL55" i="16" s="1"/>
  <c r="BJ43" i="16"/>
  <c r="BJ37" i="16" s="1"/>
  <c r="BL48" i="16"/>
  <c r="BL49" i="16" s="1"/>
  <c r="BL50" i="16" s="1"/>
  <c r="BL51" i="16" s="1"/>
  <c r="BM30" i="16"/>
  <c r="BM24" i="16" s="1"/>
  <c r="BM54" i="16" s="1"/>
  <c r="BM56" i="16" s="1"/>
  <c r="BM55" i="16" s="1"/>
  <c r="BL20" i="16"/>
  <c r="BM12" i="16" s="1"/>
  <c r="BL18" i="16"/>
  <c r="BM10" i="16" s="1"/>
  <c r="BL21" i="16"/>
  <c r="BM13" i="16" s="1"/>
  <c r="BL53" i="16"/>
  <c r="BK52" i="16"/>
  <c r="BL16" i="16"/>
  <c r="BM8" i="16" s="1"/>
  <c r="BK42" i="16"/>
  <c r="BK44" i="16"/>
  <c r="BK45" i="16" s="1"/>
  <c r="BK46" i="16"/>
  <c r="BK47" i="16" s="1"/>
  <c r="BL19" i="16"/>
  <c r="BM11" i="16" s="1"/>
  <c r="BL22" i="16"/>
  <c r="BM14" i="16" s="1"/>
  <c r="BL17" i="16"/>
  <c r="BM9" i="16" s="1"/>
  <c r="BL25" i="16"/>
  <c r="BL15" i="16"/>
  <c r="BM7" i="16" s="1"/>
  <c r="BJ3" i="16"/>
  <c r="BI1" i="16"/>
  <c r="BI2" i="16"/>
  <c r="Y29" i="16"/>
  <c r="AT3" i="16"/>
  <c r="AU1" i="16"/>
  <c r="AU2" i="16"/>
  <c r="BL41" i="16" l="1"/>
  <c r="BL42" i="16"/>
  <c r="BL43" i="16" s="1"/>
  <c r="BL37" i="16" s="1"/>
  <c r="BL44" i="16"/>
  <c r="BL45" i="16" s="1"/>
  <c r="BJ32" i="16"/>
  <c r="BJ33" i="16" s="1"/>
  <c r="BL52" i="16"/>
  <c r="BM48" i="16"/>
  <c r="BM49" i="16" s="1"/>
  <c r="BM50" i="16" s="1"/>
  <c r="BM51" i="16" s="1"/>
  <c r="BM38" i="16"/>
  <c r="BM39" i="16" s="1"/>
  <c r="BM40" i="16" s="1"/>
  <c r="BM46" i="16" s="1"/>
  <c r="BM47" i="16" s="1"/>
  <c r="BM53" i="16"/>
  <c r="BM20" i="16"/>
  <c r="BM18" i="16"/>
  <c r="BM21" i="16"/>
  <c r="BM19" i="16"/>
  <c r="BK43" i="16"/>
  <c r="BK37" i="16" s="1"/>
  <c r="BM22" i="16"/>
  <c r="BM25" i="16"/>
  <c r="BM16" i="16"/>
  <c r="BM17" i="16"/>
  <c r="BM15" i="16"/>
  <c r="BJ2" i="16"/>
  <c r="BK3" i="16"/>
  <c r="BJ1" i="16"/>
  <c r="Z29" i="16"/>
  <c r="AS3" i="16"/>
  <c r="AT1" i="16"/>
  <c r="AT2" i="16"/>
  <c r="BL32" i="16" l="1"/>
  <c r="BL33" i="16" s="1"/>
  <c r="BK32" i="16"/>
  <c r="BK33" i="16" s="1"/>
  <c r="BM52" i="16"/>
  <c r="BM41" i="16"/>
  <c r="BM42" i="16"/>
  <c r="BM43" i="16" s="1"/>
  <c r="BM37" i="16" s="1"/>
  <c r="BM44" i="16"/>
  <c r="BM45" i="16" s="1"/>
  <c r="BL3" i="16"/>
  <c r="BK1" i="16"/>
  <c r="BK2" i="16"/>
  <c r="AA29" i="16"/>
  <c r="AR3" i="16"/>
  <c r="AS1" i="16"/>
  <c r="AS2" i="16"/>
  <c r="BM3" i="16" l="1"/>
  <c r="BM32" i="16"/>
  <c r="BM33" i="16" s="1"/>
  <c r="BL1" i="16"/>
  <c r="BL2" i="16"/>
  <c r="AB29" i="16"/>
  <c r="AQ3" i="16"/>
  <c r="AR1" i="16"/>
  <c r="AR2" i="16"/>
  <c r="BM1" i="16" l="1"/>
  <c r="BM2" i="16"/>
  <c r="AC29" i="16"/>
  <c r="AP3" i="16"/>
  <c r="AQ1" i="16"/>
  <c r="AQ2" i="16"/>
  <c r="AD29" i="16" l="1"/>
  <c r="AO3" i="16"/>
  <c r="AP1" i="16"/>
  <c r="AP2" i="16"/>
  <c r="AE29" i="16" l="1"/>
  <c r="AN3" i="16"/>
  <c r="AO2" i="16"/>
  <c r="AO1" i="16"/>
  <c r="J51" i="8"/>
  <c r="J52" i="8"/>
  <c r="J53" i="8"/>
  <c r="J54" i="8"/>
  <c r="J55" i="8"/>
  <c r="J50" i="8"/>
  <c r="H37" i="8"/>
  <c r="G37" i="8"/>
  <c r="E37" i="8"/>
  <c r="H36" i="8"/>
  <c r="G36" i="8"/>
  <c r="F36" i="8"/>
  <c r="E36" i="8"/>
  <c r="H35" i="8"/>
  <c r="G35" i="8"/>
  <c r="E35" i="8"/>
  <c r="H34" i="8"/>
  <c r="G34" i="8"/>
  <c r="F34" i="8"/>
  <c r="E34" i="8"/>
  <c r="H33" i="8"/>
  <c r="G33" i="8"/>
  <c r="E33" i="8"/>
  <c r="H32" i="8"/>
  <c r="G32" i="8"/>
  <c r="H3" i="8"/>
  <c r="H4" i="8"/>
  <c r="H5" i="8"/>
  <c r="H6" i="8"/>
  <c r="H7" i="8"/>
  <c r="H2" i="8"/>
  <c r="G3" i="8"/>
  <c r="G4" i="8"/>
  <c r="G5" i="8"/>
  <c r="G6" i="8"/>
  <c r="G7" i="8"/>
  <c r="G2" i="8"/>
  <c r="F6" i="8"/>
  <c r="E7" i="8" s="1"/>
  <c r="E6" i="8"/>
  <c r="E5" i="8"/>
  <c r="E4" i="8"/>
  <c r="E3" i="8"/>
  <c r="I55" i="8"/>
  <c r="I51" i="8"/>
  <c r="I52" i="8"/>
  <c r="I53" i="8"/>
  <c r="I54" i="8"/>
  <c r="I50" i="8"/>
  <c r="AF29" i="16" l="1"/>
  <c r="AM3" i="16"/>
  <c r="AN2" i="16"/>
  <c r="AN1" i="16"/>
  <c r="AG29" i="16" l="1"/>
  <c r="AL3" i="16"/>
  <c r="AM2" i="16"/>
  <c r="AM1" i="16"/>
  <c r="AH29" i="16" l="1"/>
  <c r="AK3" i="16"/>
  <c r="AL1" i="16"/>
  <c r="AL2" i="16"/>
  <c r="AI29" i="16" l="1"/>
  <c r="AJ3" i="16"/>
  <c r="AK1" i="16"/>
  <c r="AK2" i="16"/>
  <c r="AJ29" i="16" l="1"/>
  <c r="AI3" i="16"/>
  <c r="AJ1" i="16"/>
  <c r="AJ2" i="16"/>
  <c r="I19" i="8"/>
  <c r="AK29" i="16" l="1"/>
  <c r="AH3" i="16"/>
  <c r="AI1" i="16"/>
  <c r="AI2" i="16"/>
  <c r="F4" i="8"/>
  <c r="AL29" i="16" l="1"/>
  <c r="AG3" i="16"/>
  <c r="AH2" i="16"/>
  <c r="AH1" i="16"/>
  <c r="AM29" i="16" l="1"/>
  <c r="AF3" i="16"/>
  <c r="AG2" i="16"/>
  <c r="AG1" i="16"/>
  <c r="AN29" i="16" l="1"/>
  <c r="AE3" i="16"/>
  <c r="AF1" i="16"/>
  <c r="AF2" i="16"/>
  <c r="AP29" i="16" l="1"/>
  <c r="AO29" i="16"/>
  <c r="AD3" i="16"/>
  <c r="AE1" i="16"/>
  <c r="AE2" i="16"/>
  <c r="AC3" i="16" l="1"/>
  <c r="AD2" i="16"/>
  <c r="AD1" i="16"/>
  <c r="AQ29" i="16" l="1"/>
  <c r="AB3" i="16"/>
  <c r="AC2" i="16"/>
  <c r="AC1" i="16"/>
  <c r="AR29" i="16" l="1"/>
  <c r="AA3" i="16"/>
  <c r="AB2" i="16"/>
  <c r="AB1" i="16"/>
  <c r="AS29" i="16" l="1"/>
  <c r="Z3" i="16"/>
  <c r="AA1" i="16"/>
  <c r="AA2" i="16"/>
  <c r="AT29" i="16" l="1"/>
  <c r="Y3" i="16"/>
  <c r="Z1" i="16"/>
  <c r="Z2" i="16"/>
  <c r="AU29" i="16" l="1"/>
  <c r="X3" i="16"/>
  <c r="Y1" i="16"/>
  <c r="Y2" i="16"/>
  <c r="AV29" i="16" l="1"/>
  <c r="W3" i="16"/>
  <c r="X1" i="16"/>
  <c r="X2" i="16"/>
  <c r="AW29" i="16" l="1"/>
  <c r="V3" i="16"/>
  <c r="W2" i="16"/>
  <c r="W1" i="16"/>
  <c r="AX29" i="16" l="1"/>
  <c r="U3" i="16"/>
  <c r="V1" i="16"/>
  <c r="V2" i="16"/>
  <c r="AY29" i="16" l="1"/>
  <c r="T3" i="16"/>
  <c r="U1" i="16"/>
  <c r="U2" i="16"/>
  <c r="AZ29" i="16" l="1"/>
  <c r="S3" i="16"/>
  <c r="T2" i="16"/>
  <c r="T1" i="16"/>
  <c r="BB29" i="16" l="1"/>
  <c r="BA29" i="16"/>
  <c r="R3" i="16"/>
  <c r="S2" i="16"/>
  <c r="S1" i="16"/>
  <c r="Q3" i="16" l="1"/>
  <c r="R1" i="16"/>
  <c r="R2" i="16"/>
  <c r="BC29" i="16" l="1"/>
  <c r="P3" i="16"/>
  <c r="Q1" i="16"/>
  <c r="Q2" i="16"/>
  <c r="BD29" i="16" l="1"/>
  <c r="O3" i="16"/>
  <c r="P2" i="16"/>
  <c r="P1" i="16"/>
  <c r="BE29" i="16" l="1"/>
  <c r="N3" i="16"/>
  <c r="O1" i="16"/>
  <c r="O2" i="16"/>
  <c r="BF29" i="16" l="1"/>
  <c r="N1" i="16"/>
  <c r="M3" i="16"/>
  <c r="N2" i="16"/>
  <c r="BG29" i="16" l="1"/>
  <c r="M1" i="16"/>
  <c r="L3" i="16"/>
  <c r="M2" i="16"/>
  <c r="BH29" i="16" l="1"/>
  <c r="L2" i="16"/>
  <c r="L1" i="16"/>
  <c r="K3" i="16"/>
  <c r="BA30" i="16"/>
  <c r="AX30" i="16"/>
  <c r="AW30" i="16"/>
  <c r="AV30" i="16"/>
  <c r="AU30" i="16"/>
  <c r="AT30" i="16"/>
  <c r="AS30" i="16"/>
  <c r="AQ30" i="16"/>
  <c r="AO30" i="16"/>
  <c r="AN30" i="16"/>
  <c r="AM30" i="16"/>
  <c r="AL30" i="16"/>
  <c r="AK30" i="16"/>
  <c r="AH30" i="16"/>
  <c r="AG30" i="16"/>
  <c r="AF30" i="16"/>
  <c r="AE30" i="16"/>
  <c r="AD30" i="16"/>
  <c r="AC30" i="16"/>
  <c r="AA30" i="16"/>
  <c r="Z30" i="16"/>
  <c r="Y30" i="16"/>
  <c r="X30" i="16"/>
  <c r="W30" i="16"/>
  <c r="V30" i="16"/>
  <c r="U30" i="16"/>
  <c r="S30" i="16"/>
  <c r="R30" i="16"/>
  <c r="P30" i="16"/>
  <c r="O30" i="16"/>
  <c r="AZ30" i="16"/>
  <c r="AR30" i="16"/>
  <c r="AJ30" i="16"/>
  <c r="AI30" i="16"/>
  <c r="AB30" i="16"/>
  <c r="T30" i="16"/>
  <c r="N30" i="16"/>
  <c r="M30" i="16"/>
  <c r="BI29" i="16" l="1"/>
  <c r="K1" i="16"/>
  <c r="K2" i="16"/>
  <c r="J3" i="16"/>
  <c r="AY30" i="16"/>
  <c r="Q30" i="16"/>
  <c r="W24" i="16"/>
  <c r="W54" i="16" s="1"/>
  <c r="W56" i="16" s="1"/>
  <c r="W55" i="16" s="1"/>
  <c r="AE24" i="16"/>
  <c r="AE54" i="16" s="1"/>
  <c r="AE56" i="16" s="1"/>
  <c r="AE55" i="16" s="1"/>
  <c r="AM24" i="16"/>
  <c r="AM54" i="16" s="1"/>
  <c r="AM56" i="16" s="1"/>
  <c r="AM55" i="16" s="1"/>
  <c r="AU24" i="16"/>
  <c r="AU54" i="16" s="1"/>
  <c r="AU56" i="16" s="1"/>
  <c r="AU55" i="16" s="1"/>
  <c r="AF24" i="16"/>
  <c r="AF54" i="16" s="1"/>
  <c r="AF56" i="16" s="1"/>
  <c r="AF55" i="16" s="1"/>
  <c r="AN24" i="16"/>
  <c r="AN54" i="16" s="1"/>
  <c r="AN56" i="16" s="1"/>
  <c r="AN55" i="16" s="1"/>
  <c r="AV24" i="16"/>
  <c r="AV54" i="16" s="1"/>
  <c r="AV56" i="16" s="1"/>
  <c r="AV55" i="16" s="1"/>
  <c r="X24" i="16"/>
  <c r="X54" i="16" s="1"/>
  <c r="X56" i="16" s="1"/>
  <c r="X55" i="16" s="1"/>
  <c r="Y24" i="16"/>
  <c r="Y54" i="16" s="1"/>
  <c r="Y56" i="16" s="1"/>
  <c r="Y55" i="16" s="1"/>
  <c r="AG24" i="16"/>
  <c r="AG54" i="16" s="1"/>
  <c r="AG56" i="16" s="1"/>
  <c r="AG55" i="16" s="1"/>
  <c r="AO24" i="16"/>
  <c r="AO54" i="16" s="1"/>
  <c r="AO56" i="16" s="1"/>
  <c r="AO55" i="16" s="1"/>
  <c r="AW24" i="16"/>
  <c r="AW54" i="16" s="1"/>
  <c r="AW56" i="16" s="1"/>
  <c r="AW55" i="16" s="1"/>
  <c r="U24" i="16"/>
  <c r="U54" i="16" s="1"/>
  <c r="U56" i="16" s="1"/>
  <c r="U55" i="16" s="1"/>
  <c r="AC24" i="16"/>
  <c r="AC54" i="16" s="1"/>
  <c r="AC56" i="16" s="1"/>
  <c r="AC55" i="16" s="1"/>
  <c r="AK24" i="16"/>
  <c r="AK54" i="16" s="1"/>
  <c r="AK56" i="16" s="1"/>
  <c r="AK55" i="16" s="1"/>
  <c r="AS24" i="16"/>
  <c r="AS54" i="16" s="1"/>
  <c r="AS56" i="16" s="1"/>
  <c r="AS55" i="16" s="1"/>
  <c r="BA24" i="16"/>
  <c r="BA54" i="16" s="1"/>
  <c r="BA56" i="16" s="1"/>
  <c r="BA55" i="16" s="1"/>
  <c r="R24" i="16"/>
  <c r="R54" i="16" s="1"/>
  <c r="R56" i="16" s="1"/>
  <c r="R55" i="16" s="1"/>
  <c r="Z24" i="16"/>
  <c r="Z54" i="16" s="1"/>
  <c r="Z56" i="16" s="1"/>
  <c r="Z55" i="16" s="1"/>
  <c r="AH24" i="16"/>
  <c r="AH54" i="16" s="1"/>
  <c r="AH56" i="16" s="1"/>
  <c r="AH55" i="16" s="1"/>
  <c r="AX24" i="16"/>
  <c r="AX54" i="16" s="1"/>
  <c r="AX56" i="16" s="1"/>
  <c r="AX55" i="16" s="1"/>
  <c r="S24" i="16"/>
  <c r="S54" i="16" s="1"/>
  <c r="S56" i="16" s="1"/>
  <c r="S55" i="16" s="1"/>
  <c r="AA24" i="16"/>
  <c r="AA54" i="16" s="1"/>
  <c r="AA56" i="16" s="1"/>
  <c r="AA55" i="16" s="1"/>
  <c r="AI24" i="16"/>
  <c r="AI54" i="16" s="1"/>
  <c r="AI56" i="16" s="1"/>
  <c r="AI55" i="16" s="1"/>
  <c r="AQ24" i="16"/>
  <c r="AQ54" i="16" s="1"/>
  <c r="AQ56" i="16" s="1"/>
  <c r="AQ55" i="16" s="1"/>
  <c r="T24" i="16"/>
  <c r="T54" i="16" s="1"/>
  <c r="T56" i="16" s="1"/>
  <c r="T55" i="16" s="1"/>
  <c r="AB24" i="16"/>
  <c r="AB54" i="16" s="1"/>
  <c r="AB56" i="16" s="1"/>
  <c r="AB55" i="16" s="1"/>
  <c r="AJ24" i="16"/>
  <c r="AJ54" i="16" s="1"/>
  <c r="AJ56" i="16" s="1"/>
  <c r="AJ55" i="16" s="1"/>
  <c r="AR24" i="16"/>
  <c r="AR54" i="16" s="1"/>
  <c r="AR56" i="16" s="1"/>
  <c r="AR55" i="16" s="1"/>
  <c r="V24" i="16"/>
  <c r="V54" i="16" s="1"/>
  <c r="V56" i="16" s="1"/>
  <c r="V55" i="16" s="1"/>
  <c r="AD24" i="16"/>
  <c r="AD54" i="16" s="1"/>
  <c r="AD56" i="16" s="1"/>
  <c r="AD55" i="16" s="1"/>
  <c r="AL24" i="16"/>
  <c r="AL54" i="16" s="1"/>
  <c r="AL56" i="16" s="1"/>
  <c r="AL55" i="16" s="1"/>
  <c r="AT24" i="16"/>
  <c r="AT54" i="16" s="1"/>
  <c r="AT56" i="16" s="1"/>
  <c r="AT55" i="16" s="1"/>
  <c r="O24" i="16"/>
  <c r="O54" i="16" s="1"/>
  <c r="O56" i="16" s="1"/>
  <c r="O55" i="16" s="1"/>
  <c r="P24" i="16"/>
  <c r="P54" i="16" s="1"/>
  <c r="P56" i="16" s="1"/>
  <c r="P55" i="16" s="1"/>
  <c r="N24" i="16"/>
  <c r="N54" i="16" s="1"/>
  <c r="N56" i="16" s="1"/>
  <c r="N55" i="16" s="1"/>
  <c r="M24" i="16"/>
  <c r="M54" i="16" s="1"/>
  <c r="M56" i="16" s="1"/>
  <c r="M55" i="16" s="1"/>
  <c r="AZ24" i="16"/>
  <c r="AZ54" i="16" s="1"/>
  <c r="AZ56" i="16" s="1"/>
  <c r="AZ55" i="16" s="1"/>
  <c r="AT53" i="16" l="1"/>
  <c r="AZ53" i="16"/>
  <c r="AO53" i="16"/>
  <c r="AV53" i="16"/>
  <c r="AM53" i="16"/>
  <c r="AQ53" i="16"/>
  <c r="BA53" i="16"/>
  <c r="AN53" i="16"/>
  <c r="AR53" i="16"/>
  <c r="AX53" i="16"/>
  <c r="AL53" i="16"/>
  <c r="AS53" i="16"/>
  <c r="AW53" i="16"/>
  <c r="AU53" i="16"/>
  <c r="R53" i="16"/>
  <c r="AC53" i="16"/>
  <c r="M53" i="16"/>
  <c r="AJ53" i="16"/>
  <c r="AH53" i="16"/>
  <c r="Y53" i="16"/>
  <c r="AF53" i="16"/>
  <c r="W53" i="16"/>
  <c r="P53" i="16"/>
  <c r="AB53" i="16"/>
  <c r="AA53" i="16"/>
  <c r="U53" i="16"/>
  <c r="AE53" i="16"/>
  <c r="N53" i="16"/>
  <c r="AI53" i="16"/>
  <c r="Z53" i="16"/>
  <c r="AK53" i="16"/>
  <c r="X53" i="16"/>
  <c r="AG53" i="16"/>
  <c r="AD53" i="16"/>
  <c r="O53" i="16"/>
  <c r="V53" i="16"/>
  <c r="T53" i="16"/>
  <c r="S53" i="16"/>
  <c r="BJ29" i="16"/>
  <c r="J2" i="16"/>
  <c r="J1" i="16"/>
  <c r="I3" i="16"/>
  <c r="AY24" i="16"/>
  <c r="AY54" i="16" s="1"/>
  <c r="AY56" i="16" s="1"/>
  <c r="AY55" i="16" s="1"/>
  <c r="Q24" i="16"/>
  <c r="Q54" i="16" s="1"/>
  <c r="Q56" i="16" s="1"/>
  <c r="Q55" i="16" s="1"/>
  <c r="AJ48" i="16"/>
  <c r="AJ49" i="16" s="1"/>
  <c r="AJ50" i="16" s="1"/>
  <c r="AJ52" i="16" s="1"/>
  <c r="AJ38" i="16"/>
  <c r="AJ39" i="16" s="1"/>
  <c r="AJ40" i="16" s="1"/>
  <c r="AJ46" i="16" s="1"/>
  <c r="AJ47" i="16" s="1"/>
  <c r="U48" i="16"/>
  <c r="U49" i="16" s="1"/>
  <c r="U50" i="16" s="1"/>
  <c r="U52" i="16" s="1"/>
  <c r="U38" i="16"/>
  <c r="U39" i="16" s="1"/>
  <c r="U40" i="16" s="1"/>
  <c r="U46" i="16" s="1"/>
  <c r="U47" i="16" s="1"/>
  <c r="AI48" i="16"/>
  <c r="AI49" i="16" s="1"/>
  <c r="AI50" i="16" s="1"/>
  <c r="AI52" i="16" s="1"/>
  <c r="AI38" i="16"/>
  <c r="AI39" i="16" s="1"/>
  <c r="AI40" i="16" s="1"/>
  <c r="AI46" i="16" s="1"/>
  <c r="AI47" i="16" s="1"/>
  <c r="X48" i="16"/>
  <c r="X49" i="16" s="1"/>
  <c r="X50" i="16" s="1"/>
  <c r="X52" i="16" s="1"/>
  <c r="X38" i="16"/>
  <c r="X39" i="16" s="1"/>
  <c r="X40" i="16" s="1"/>
  <c r="X46" i="16" s="1"/>
  <c r="X47" i="16" s="1"/>
  <c r="AD48" i="16"/>
  <c r="AD49" i="16" s="1"/>
  <c r="AD50" i="16" s="1"/>
  <c r="AD52" i="16" s="1"/>
  <c r="AD38" i="16"/>
  <c r="AD39" i="16" s="1"/>
  <c r="AD40" i="16" s="1"/>
  <c r="AD46" i="16" s="1"/>
  <c r="AD47" i="16" s="1"/>
  <c r="AB38" i="16"/>
  <c r="AB39" i="16" s="1"/>
  <c r="AB40" i="16" s="1"/>
  <c r="AB46" i="16" s="1"/>
  <c r="AB47" i="16" s="1"/>
  <c r="AB48" i="16"/>
  <c r="AB49" i="16" s="1"/>
  <c r="AB50" i="16" s="1"/>
  <c r="AB52" i="16" s="1"/>
  <c r="AA48" i="16"/>
  <c r="AA49" i="16" s="1"/>
  <c r="AA50" i="16" s="1"/>
  <c r="AA52" i="16" s="1"/>
  <c r="AA38" i="16"/>
  <c r="AA39" i="16" s="1"/>
  <c r="AA40" i="16" s="1"/>
  <c r="AA46" i="16" s="1"/>
  <c r="AA47" i="16" s="1"/>
  <c r="AH38" i="16"/>
  <c r="AH39" i="16" s="1"/>
  <c r="AH40" i="16" s="1"/>
  <c r="AH46" i="16" s="1"/>
  <c r="AH47" i="16" s="1"/>
  <c r="AH48" i="16"/>
  <c r="AH49" i="16" s="1"/>
  <c r="AH50" i="16" s="1"/>
  <c r="AH52" i="16" s="1"/>
  <c r="T48" i="16"/>
  <c r="T49" i="16" s="1"/>
  <c r="T50" i="16" s="1"/>
  <c r="T52" i="16" s="1"/>
  <c r="T38" i="16"/>
  <c r="T39" i="16" s="1"/>
  <c r="T40" i="16" s="1"/>
  <c r="T46" i="16" s="1"/>
  <c r="T47" i="16" s="1"/>
  <c r="AG48" i="16"/>
  <c r="AG49" i="16" s="1"/>
  <c r="AG50" i="16" s="1"/>
  <c r="AG52" i="16" s="1"/>
  <c r="AG38" i="16"/>
  <c r="AG39" i="16" s="1"/>
  <c r="AG40" i="16" s="1"/>
  <c r="AG46" i="16" s="1"/>
  <c r="AG47" i="16" s="1"/>
  <c r="AE38" i="16"/>
  <c r="AE39" i="16" s="1"/>
  <c r="AE40" i="16" s="1"/>
  <c r="AE46" i="16" s="1"/>
  <c r="AE47" i="16" s="1"/>
  <c r="AE48" i="16"/>
  <c r="AE49" i="16" s="1"/>
  <c r="AE50" i="16" s="1"/>
  <c r="AE52" i="16" s="1"/>
  <c r="V38" i="16"/>
  <c r="V39" i="16" s="1"/>
  <c r="V40" i="16" s="1"/>
  <c r="V46" i="16" s="1"/>
  <c r="V47" i="16" s="1"/>
  <c r="V48" i="16"/>
  <c r="V49" i="16" s="1"/>
  <c r="V50" i="16" s="1"/>
  <c r="V52" i="16" s="1"/>
  <c r="S38" i="16"/>
  <c r="S39" i="16" s="1"/>
  <c r="S40" i="16" s="1"/>
  <c r="S46" i="16" s="1"/>
  <c r="S47" i="16" s="1"/>
  <c r="S48" i="16"/>
  <c r="S49" i="16" s="1"/>
  <c r="S50" i="16" s="1"/>
  <c r="S52" i="16" s="1"/>
  <c r="Z38" i="16"/>
  <c r="Z39" i="16" s="1"/>
  <c r="Z40" i="16" s="1"/>
  <c r="Z46" i="16" s="1"/>
  <c r="Z47" i="16" s="1"/>
  <c r="Z48" i="16"/>
  <c r="Z49" i="16" s="1"/>
  <c r="Z50" i="16" s="1"/>
  <c r="Z52" i="16" s="1"/>
  <c r="AK38" i="16"/>
  <c r="AK39" i="16" s="1"/>
  <c r="AK40" i="16" s="1"/>
  <c r="AK46" i="16" s="1"/>
  <c r="AK47" i="16" s="1"/>
  <c r="AK48" i="16"/>
  <c r="AK49" i="16" s="1"/>
  <c r="AK50" i="16" s="1"/>
  <c r="AK52" i="16" s="1"/>
  <c r="R48" i="16"/>
  <c r="R49" i="16" s="1"/>
  <c r="R50" i="16" s="1"/>
  <c r="R52" i="16" s="1"/>
  <c r="R38" i="16"/>
  <c r="R39" i="16" s="1"/>
  <c r="R40" i="16" s="1"/>
  <c r="R46" i="16" s="1"/>
  <c r="R47" i="16" s="1"/>
  <c r="AC38" i="16"/>
  <c r="AC39" i="16" s="1"/>
  <c r="AC40" i="16" s="1"/>
  <c r="AC46" i="16" s="1"/>
  <c r="AC47" i="16" s="1"/>
  <c r="AC48" i="16"/>
  <c r="AC49" i="16" s="1"/>
  <c r="AC50" i="16" s="1"/>
  <c r="AC52" i="16" s="1"/>
  <c r="Y48" i="16"/>
  <c r="Y49" i="16" s="1"/>
  <c r="Y50" i="16" s="1"/>
  <c r="Y52" i="16" s="1"/>
  <c r="Y38" i="16"/>
  <c r="Y39" i="16" s="1"/>
  <c r="Y40" i="16" s="1"/>
  <c r="Y46" i="16" s="1"/>
  <c r="Y47" i="16" s="1"/>
  <c r="AF38" i="16"/>
  <c r="AF39" i="16" s="1"/>
  <c r="AF40" i="16" s="1"/>
  <c r="AF46" i="16" s="1"/>
  <c r="AF47" i="16" s="1"/>
  <c r="AF48" i="16"/>
  <c r="AF49" i="16" s="1"/>
  <c r="AF50" i="16" s="1"/>
  <c r="AF52" i="16" s="1"/>
  <c r="W48" i="16"/>
  <c r="W49" i="16" s="1"/>
  <c r="W50" i="16" s="1"/>
  <c r="W52" i="16" s="1"/>
  <c r="W38" i="16"/>
  <c r="W39" i="16" s="1"/>
  <c r="W40" i="16" s="1"/>
  <c r="W46" i="16" s="1"/>
  <c r="W47" i="16" s="1"/>
  <c r="N38" i="16"/>
  <c r="N39" i="16" s="1"/>
  <c r="N40" i="16" s="1"/>
  <c r="N46" i="16" s="1"/>
  <c r="N47" i="16" s="1"/>
  <c r="N48" i="16"/>
  <c r="N49" i="16" s="1"/>
  <c r="N50" i="16" s="1"/>
  <c r="N52" i="16" s="1"/>
  <c r="P38" i="16"/>
  <c r="P39" i="16" s="1"/>
  <c r="P40" i="16" s="1"/>
  <c r="P46" i="16" s="1"/>
  <c r="P47" i="16" s="1"/>
  <c r="P48" i="16"/>
  <c r="P49" i="16" s="1"/>
  <c r="P50" i="16" s="1"/>
  <c r="P52" i="16" s="1"/>
  <c r="O48" i="16"/>
  <c r="O49" i="16" s="1"/>
  <c r="O50" i="16" s="1"/>
  <c r="O52" i="16" s="1"/>
  <c r="O38" i="16"/>
  <c r="O39" i="16" s="1"/>
  <c r="O40" i="16" s="1"/>
  <c r="O46" i="16" s="1"/>
  <c r="O47" i="16" s="1"/>
  <c r="M48" i="16"/>
  <c r="M49" i="16" s="1"/>
  <c r="M50" i="16" s="1"/>
  <c r="M52" i="16" s="1"/>
  <c r="M38" i="16"/>
  <c r="M39" i="16" s="1"/>
  <c r="M40" i="16" s="1"/>
  <c r="M46" i="16" s="1"/>
  <c r="M47" i="16" s="1"/>
  <c r="AY53" i="16" l="1"/>
  <c r="Q53" i="16"/>
  <c r="Q38" i="16"/>
  <c r="Q39" i="16" s="1"/>
  <c r="Q40" i="16" s="1"/>
  <c r="Q46" i="16" s="1"/>
  <c r="Q47" i="16" s="1"/>
  <c r="AY38" i="16"/>
  <c r="AY39" i="16" s="1"/>
  <c r="AY40" i="16" s="1"/>
  <c r="AY46" i="16" s="1"/>
  <c r="AY47" i="16" s="1"/>
  <c r="Q48" i="16"/>
  <c r="Q49" i="16" s="1"/>
  <c r="Q50" i="16" s="1"/>
  <c r="Q52" i="16" s="1"/>
  <c r="BK29" i="16"/>
  <c r="AY48" i="16"/>
  <c r="AY49" i="16" s="1"/>
  <c r="AY50" i="16" s="1"/>
  <c r="AY52" i="16" s="1"/>
  <c r="I1" i="16"/>
  <c r="I2" i="16"/>
  <c r="H3" i="16"/>
  <c r="AI51" i="16"/>
  <c r="AJ51" i="16"/>
  <c r="S51" i="16"/>
  <c r="AB51" i="16"/>
  <c r="AK51" i="16"/>
  <c r="W51" i="16"/>
  <c r="R51" i="16"/>
  <c r="AE51" i="16"/>
  <c r="AD51" i="16"/>
  <c r="U51" i="16"/>
  <c r="T51" i="16"/>
  <c r="AF41" i="16"/>
  <c r="AF44" i="16"/>
  <c r="AF45" i="16" s="1"/>
  <c r="AF42" i="16"/>
  <c r="Y51" i="16"/>
  <c r="AT38" i="16"/>
  <c r="AT39" i="16" s="1"/>
  <c r="AT40" i="16" s="1"/>
  <c r="AT46" i="16" s="1"/>
  <c r="AT47" i="16" s="1"/>
  <c r="AT48" i="16"/>
  <c r="AT49" i="16" s="1"/>
  <c r="AT50" i="16" s="1"/>
  <c r="AT52" i="16" s="1"/>
  <c r="S42" i="16"/>
  <c r="S41" i="16"/>
  <c r="S44" i="16"/>
  <c r="S45" i="16" s="1"/>
  <c r="AS48" i="16"/>
  <c r="AS49" i="16" s="1"/>
  <c r="AS50" i="16" s="1"/>
  <c r="AS52" i="16" s="1"/>
  <c r="AS38" i="16"/>
  <c r="AS39" i="16" s="1"/>
  <c r="AS40" i="16" s="1"/>
  <c r="AS46" i="16" s="1"/>
  <c r="AS47" i="16" s="1"/>
  <c r="BA38" i="16"/>
  <c r="BA39" i="16" s="1"/>
  <c r="BA48" i="16"/>
  <c r="BA49" i="16" s="1"/>
  <c r="BA50" i="16" s="1"/>
  <c r="BA52" i="16" s="1"/>
  <c r="AJ42" i="16"/>
  <c r="AJ44" i="16"/>
  <c r="AJ45" i="16" s="1"/>
  <c r="AJ41" i="16"/>
  <c r="R41" i="16"/>
  <c r="R42" i="16"/>
  <c r="R44" i="16"/>
  <c r="R45" i="16" s="1"/>
  <c r="O51" i="16"/>
  <c r="Y44" i="16"/>
  <c r="Y45" i="16" s="1"/>
  <c r="Y42" i="16"/>
  <c r="Y41" i="16"/>
  <c r="AX38" i="16"/>
  <c r="AX39" i="16" s="1"/>
  <c r="AX40" i="16" s="1"/>
  <c r="AX46" i="16" s="1"/>
  <c r="AX47" i="16" s="1"/>
  <c r="AX48" i="16"/>
  <c r="AX49" i="16" s="1"/>
  <c r="AX50" i="16" s="1"/>
  <c r="V51" i="16"/>
  <c r="AE44" i="16"/>
  <c r="AE45" i="16" s="1"/>
  <c r="AE41" i="16"/>
  <c r="AE42" i="16"/>
  <c r="AM48" i="16"/>
  <c r="AM49" i="16" s="1"/>
  <c r="AM50" i="16" s="1"/>
  <c r="AM52" i="16" s="1"/>
  <c r="AM38" i="16"/>
  <c r="AM39" i="16" s="1"/>
  <c r="AM40" i="16" s="1"/>
  <c r="AM46" i="16" s="1"/>
  <c r="AM47" i="16" s="1"/>
  <c r="AH51" i="16"/>
  <c r="AB42" i="16"/>
  <c r="AB44" i="16"/>
  <c r="AB45" i="16" s="1"/>
  <c r="AB41" i="16"/>
  <c r="AW38" i="16"/>
  <c r="AW39" i="16" s="1"/>
  <c r="AW40" i="16" s="1"/>
  <c r="AW46" i="16" s="1"/>
  <c r="AW47" i="16" s="1"/>
  <c r="AW48" i="16"/>
  <c r="AW49" i="16" s="1"/>
  <c r="AW50" i="16" s="1"/>
  <c r="AW52" i="16" s="1"/>
  <c r="AK44" i="16"/>
  <c r="AK45" i="16" s="1"/>
  <c r="AK42" i="16"/>
  <c r="AK41" i="16"/>
  <c r="AN38" i="16"/>
  <c r="AN39" i="16" s="1"/>
  <c r="AN40" i="16" s="1"/>
  <c r="AN48" i="16"/>
  <c r="AN49" i="16" s="1"/>
  <c r="AN50" i="16" s="1"/>
  <c r="AN52" i="16" s="1"/>
  <c r="AV38" i="16"/>
  <c r="AV39" i="16" s="1"/>
  <c r="AV40" i="16" s="1"/>
  <c r="AV46" i="16" s="1"/>
  <c r="AV47" i="16" s="1"/>
  <c r="AV48" i="16"/>
  <c r="AV49" i="16" s="1"/>
  <c r="AV50" i="16" s="1"/>
  <c r="AV52" i="16" s="1"/>
  <c r="W44" i="16"/>
  <c r="W45" i="16" s="1"/>
  <c r="W41" i="16"/>
  <c r="W42" i="16"/>
  <c r="AC51" i="16"/>
  <c r="AQ48" i="16"/>
  <c r="AQ49" i="16" s="1"/>
  <c r="AQ50" i="16" s="1"/>
  <c r="AQ52" i="16" s="1"/>
  <c r="AQ38" i="16"/>
  <c r="AQ39" i="16" s="1"/>
  <c r="AQ40" i="16" s="1"/>
  <c r="AQ46" i="16" s="1"/>
  <c r="AQ47" i="16" s="1"/>
  <c r="Z51" i="16"/>
  <c r="V41" i="16"/>
  <c r="V44" i="16"/>
  <c r="V45" i="16" s="1"/>
  <c r="V42" i="16"/>
  <c r="T41" i="16"/>
  <c r="T44" i="16"/>
  <c r="T45" i="16" s="1"/>
  <c r="T42" i="16"/>
  <c r="AH42" i="16"/>
  <c r="AH41" i="16"/>
  <c r="AH44" i="16"/>
  <c r="AH45" i="16" s="1"/>
  <c r="AD41" i="16"/>
  <c r="AD44" i="16"/>
  <c r="AD45" i="16" s="1"/>
  <c r="AD42" i="16"/>
  <c r="AI41" i="16"/>
  <c r="AI44" i="16"/>
  <c r="AI45" i="16" s="1"/>
  <c r="AI42" i="16"/>
  <c r="U41" i="16"/>
  <c r="U44" i="16"/>
  <c r="U45" i="16" s="1"/>
  <c r="U42" i="16"/>
  <c r="AL38" i="16"/>
  <c r="AL39" i="16" s="1"/>
  <c r="AL40" i="16" s="1"/>
  <c r="AL46" i="16" s="1"/>
  <c r="AL47" i="16" s="1"/>
  <c r="AL48" i="16"/>
  <c r="AL49" i="16" s="1"/>
  <c r="AL50" i="16" s="1"/>
  <c r="AL52" i="16" s="1"/>
  <c r="AG51" i="16"/>
  <c r="AA51" i="16"/>
  <c r="AR48" i="16"/>
  <c r="AR49" i="16" s="1"/>
  <c r="AR50" i="16" s="1"/>
  <c r="AR52" i="16" s="1"/>
  <c r="AR38" i="16"/>
  <c r="AR39" i="16" s="1"/>
  <c r="AR40" i="16" s="1"/>
  <c r="AR46" i="16" s="1"/>
  <c r="AR47" i="16" s="1"/>
  <c r="AF51" i="16"/>
  <c r="AC42" i="16"/>
  <c r="AC44" i="16"/>
  <c r="AC45" i="16" s="1"/>
  <c r="AC41" i="16"/>
  <c r="Z44" i="16"/>
  <c r="Z45" i="16" s="1"/>
  <c r="Z42" i="16"/>
  <c r="Z41" i="16"/>
  <c r="AG44" i="16"/>
  <c r="AG45" i="16" s="1"/>
  <c r="AG42" i="16"/>
  <c r="AG41" i="16"/>
  <c r="AO38" i="16"/>
  <c r="AO39" i="16" s="1"/>
  <c r="AO40" i="16" s="1"/>
  <c r="AO46" i="16" s="1"/>
  <c r="AO47" i="16" s="1"/>
  <c r="AO48" i="16"/>
  <c r="AO49" i="16" s="1"/>
  <c r="AO50" i="16" s="1"/>
  <c r="AO52" i="16" s="1"/>
  <c r="AA42" i="16"/>
  <c r="AA41" i="16"/>
  <c r="AA44" i="16"/>
  <c r="AA45" i="16" s="1"/>
  <c r="X51" i="16"/>
  <c r="X42" i="16"/>
  <c r="X41" i="16"/>
  <c r="X44" i="16"/>
  <c r="X45" i="16" s="1"/>
  <c r="AU38" i="16"/>
  <c r="AU39" i="16" s="1"/>
  <c r="AU40" i="16" s="1"/>
  <c r="AU46" i="16" s="1"/>
  <c r="AU47" i="16" s="1"/>
  <c r="AU48" i="16"/>
  <c r="AU49" i="16" s="1"/>
  <c r="AU50" i="16" s="1"/>
  <c r="AU52" i="16" s="1"/>
  <c r="AP48" i="16"/>
  <c r="AP49" i="16" s="1"/>
  <c r="AP50" i="16" s="1"/>
  <c r="AP52" i="16" s="1"/>
  <c r="AP38" i="16"/>
  <c r="AP39" i="16" s="1"/>
  <c r="AP40" i="16" s="1"/>
  <c r="AP46" i="16" s="1"/>
  <c r="AP47" i="16" s="1"/>
  <c r="O44" i="16"/>
  <c r="O45" i="16" s="1"/>
  <c r="O41" i="16"/>
  <c r="O42" i="16"/>
  <c r="P41" i="16"/>
  <c r="P42" i="16"/>
  <c r="P44" i="16"/>
  <c r="P45" i="16" s="1"/>
  <c r="N51" i="16"/>
  <c r="P51" i="16"/>
  <c r="N44" i="16"/>
  <c r="N45" i="16" s="1"/>
  <c r="N42" i="16"/>
  <c r="N41" i="16"/>
  <c r="M44" i="16"/>
  <c r="M45" i="16" s="1"/>
  <c r="M41" i="16"/>
  <c r="M42" i="16"/>
  <c r="M51" i="16"/>
  <c r="AZ38" i="16"/>
  <c r="AZ48" i="16"/>
  <c r="AZ49" i="16" s="1"/>
  <c r="AZ50" i="16" s="1"/>
  <c r="AZ52" i="16" s="1"/>
  <c r="Q41" i="16" l="1"/>
  <c r="Q42" i="16"/>
  <c r="AY41" i="16"/>
  <c r="AY42" i="16"/>
  <c r="AY43" i="16" s="1"/>
  <c r="AY44" i="16"/>
  <c r="AY45" i="16" s="1"/>
  <c r="AN46" i="16"/>
  <c r="AN47" i="16" s="1"/>
  <c r="AN41" i="16"/>
  <c r="AK43" i="16"/>
  <c r="AK37" i="16" s="1"/>
  <c r="AH43" i="16"/>
  <c r="AH37" i="16" s="1"/>
  <c r="Y43" i="16"/>
  <c r="Y37" i="16" s="1"/>
  <c r="AF43" i="16"/>
  <c r="AF37" i="16" s="1"/>
  <c r="N43" i="16"/>
  <c r="N37" i="16" s="1"/>
  <c r="AA43" i="16"/>
  <c r="AA37" i="16" s="1"/>
  <c r="AD43" i="16"/>
  <c r="AD37" i="16" s="1"/>
  <c r="R43" i="16"/>
  <c r="R37" i="16" s="1"/>
  <c r="AI43" i="16"/>
  <c r="AI37" i="16" s="1"/>
  <c r="P43" i="16"/>
  <c r="P37" i="16" s="1"/>
  <c r="T43" i="16"/>
  <c r="T37" i="16" s="1"/>
  <c r="AE43" i="16"/>
  <c r="AE37" i="16" s="1"/>
  <c r="S43" i="16"/>
  <c r="S37" i="16" s="1"/>
  <c r="X43" i="16"/>
  <c r="X37" i="16" s="1"/>
  <c r="Z43" i="16"/>
  <c r="Z37" i="16" s="1"/>
  <c r="AC43" i="16"/>
  <c r="AC37" i="16" s="1"/>
  <c r="M43" i="16"/>
  <c r="M37" i="16" s="1"/>
  <c r="O43" i="16"/>
  <c r="O37" i="16" s="1"/>
  <c r="U43" i="16"/>
  <c r="U37" i="16" s="1"/>
  <c r="AB43" i="16"/>
  <c r="AB37" i="16" s="1"/>
  <c r="AG43" i="16"/>
  <c r="AG37" i="16" s="1"/>
  <c r="V43" i="16"/>
  <c r="V37" i="16" s="1"/>
  <c r="W43" i="16"/>
  <c r="W37" i="16" s="1"/>
  <c r="AJ43" i="16"/>
  <c r="AJ37" i="16" s="1"/>
  <c r="Q51" i="16"/>
  <c r="Q44" i="16"/>
  <c r="Q45" i="16" s="1"/>
  <c r="AZ39" i="16"/>
  <c r="BA40" i="16"/>
  <c r="BA46" i="16" s="1"/>
  <c r="BA47" i="16" s="1"/>
  <c r="AY51" i="16"/>
  <c r="BM29" i="16"/>
  <c r="BL29" i="16"/>
  <c r="H2" i="16"/>
  <c r="H1" i="16"/>
  <c r="G3" i="16"/>
  <c r="BA51" i="16"/>
  <c r="AQ51" i="16"/>
  <c r="AS51" i="16"/>
  <c r="AM51" i="16"/>
  <c r="AO42" i="16"/>
  <c r="AO41" i="16"/>
  <c r="AO44" i="16"/>
  <c r="AO45" i="16" s="1"/>
  <c r="AQ44" i="16"/>
  <c r="AQ45" i="16" s="1"/>
  <c r="AQ42" i="16"/>
  <c r="AQ41" i="16"/>
  <c r="AM41" i="16"/>
  <c r="AM44" i="16"/>
  <c r="AM45" i="16" s="1"/>
  <c r="AM42" i="16"/>
  <c r="AP51" i="16"/>
  <c r="AV51" i="16"/>
  <c r="AT51" i="16"/>
  <c r="AV41" i="16"/>
  <c r="AV44" i="16"/>
  <c r="AV45" i="16" s="1"/>
  <c r="AV42" i="16"/>
  <c r="AX52" i="16"/>
  <c r="AX51" i="16"/>
  <c r="AS41" i="16"/>
  <c r="AS44" i="16"/>
  <c r="AS45" i="16" s="1"/>
  <c r="AS42" i="16"/>
  <c r="AT41" i="16"/>
  <c r="AT44" i="16"/>
  <c r="AT45" i="16" s="1"/>
  <c r="AT42" i="16"/>
  <c r="AP42" i="16"/>
  <c r="AP41" i="16"/>
  <c r="AP44" i="16"/>
  <c r="AP45" i="16" s="1"/>
  <c r="AU51" i="16"/>
  <c r="AR51" i="16"/>
  <c r="AL51" i="16"/>
  <c r="AN51" i="16"/>
  <c r="AW51" i="16"/>
  <c r="AX42" i="16"/>
  <c r="AX41" i="16"/>
  <c r="AX44" i="16"/>
  <c r="AX45" i="16" s="1"/>
  <c r="AR42" i="16"/>
  <c r="AR41" i="16"/>
  <c r="AR44" i="16"/>
  <c r="AR45" i="16" s="1"/>
  <c r="AU42" i="16"/>
  <c r="AU41" i="16"/>
  <c r="AU44" i="16"/>
  <c r="AU45" i="16" s="1"/>
  <c r="AO51" i="16"/>
  <c r="AL44" i="16"/>
  <c r="AL45" i="16" s="1"/>
  <c r="AL41" i="16"/>
  <c r="AL42" i="16"/>
  <c r="AN44" i="16"/>
  <c r="AN45" i="16" s="1"/>
  <c r="AN42" i="16"/>
  <c r="AW44" i="16"/>
  <c r="AW45" i="16" s="1"/>
  <c r="AW42" i="16"/>
  <c r="AW41" i="16"/>
  <c r="AZ51" i="16"/>
  <c r="AY37" i="16" l="1"/>
  <c r="Q43" i="16"/>
  <c r="Q37" i="16" s="1"/>
  <c r="AU43" i="16"/>
  <c r="AU37" i="16" s="1"/>
  <c r="AM43" i="16"/>
  <c r="AM37" i="16" s="1"/>
  <c r="AT43" i="16"/>
  <c r="AT37" i="16" s="1"/>
  <c r="AL43" i="16"/>
  <c r="AL37" i="16" s="1"/>
  <c r="AO43" i="16"/>
  <c r="AO37" i="16" s="1"/>
  <c r="AS43" i="16"/>
  <c r="AS37" i="16" s="1"/>
  <c r="AQ43" i="16"/>
  <c r="AQ37" i="16" s="1"/>
  <c r="AV43" i="16"/>
  <c r="AV37" i="16" s="1"/>
  <c r="AW43" i="16"/>
  <c r="AW37" i="16" s="1"/>
  <c r="AR43" i="16"/>
  <c r="AR37" i="16" s="1"/>
  <c r="AN43" i="16"/>
  <c r="AN37" i="16" s="1"/>
  <c r="AX43" i="16"/>
  <c r="AX37" i="16" s="1"/>
  <c r="AP43" i="16"/>
  <c r="AP37" i="16" s="1"/>
  <c r="BA42" i="16"/>
  <c r="BA41" i="16"/>
  <c r="BA44" i="16"/>
  <c r="BA45" i="16" s="1"/>
  <c r="AZ40" i="16"/>
  <c r="AZ44" i="16" s="1"/>
  <c r="AZ45" i="16" s="1"/>
  <c r="G2" i="16"/>
  <c r="G1" i="16"/>
  <c r="F3" i="16"/>
  <c r="BA43" i="16" l="1"/>
  <c r="BA37" i="16" s="1"/>
  <c r="AZ46" i="16"/>
  <c r="AZ47" i="16" s="1"/>
  <c r="AZ41" i="16"/>
  <c r="AZ42" i="16"/>
  <c r="E3" i="16"/>
  <c r="F2" i="16"/>
  <c r="F1" i="16"/>
  <c r="AZ43" i="16" l="1"/>
  <c r="AZ37" i="16" s="1"/>
  <c r="D3" i="16"/>
  <c r="E1" i="16"/>
  <c r="E2" i="16"/>
  <c r="C3" i="16" l="1"/>
  <c r="D2" i="16"/>
  <c r="D1" i="16"/>
  <c r="C1" i="16" l="1"/>
  <c r="C2" i="16"/>
</calcChain>
</file>

<file path=xl/sharedStrings.xml><?xml version="1.0" encoding="utf-8"?>
<sst xmlns="http://schemas.openxmlformats.org/spreadsheetml/2006/main" count="210" uniqueCount="88">
  <si>
    <t>ICMS</t>
  </si>
  <si>
    <t>IRPJ</t>
  </si>
  <si>
    <t>CSLL</t>
  </si>
  <si>
    <t>IPI</t>
  </si>
  <si>
    <t>Receita Bruta do PA (RPA) - Competência</t>
  </si>
  <si>
    <t>Revenda Monofásicos</t>
  </si>
  <si>
    <t>Revenda Monofásicos + ST</t>
  </si>
  <si>
    <t>Faixa</t>
  </si>
  <si>
    <t>DAS</t>
  </si>
  <si>
    <t>Receita Bruta em 12 Meses (em R$)</t>
  </si>
  <si>
    <t>Alíquota</t>
  </si>
  <si>
    <t>Valor a Deduzir (em R$)</t>
  </si>
  <si>
    <r>
      <t>1</t>
    </r>
    <r>
      <rPr>
        <sz val="8"/>
        <color rgb="FF7A7A7A"/>
        <rFont val="Arial"/>
        <family val="2"/>
      </rPr>
      <t>a</t>
    </r>
    <r>
      <rPr>
        <sz val="9.9"/>
        <color rgb="FF7A7A7A"/>
        <rFont val="Arial"/>
        <family val="2"/>
      </rPr>
      <t> Faixa</t>
    </r>
  </si>
  <si>
    <t>Até 180.000,00</t>
  </si>
  <si>
    <t>–</t>
  </si>
  <si>
    <r>
      <t>2</t>
    </r>
    <r>
      <rPr>
        <sz val="8"/>
        <color rgb="FF7A7A7A"/>
        <rFont val="Arial"/>
        <family val="2"/>
      </rPr>
      <t>a</t>
    </r>
    <r>
      <rPr>
        <sz val="9.9"/>
        <color rgb="FF7A7A7A"/>
        <rFont val="Arial"/>
        <family val="2"/>
      </rPr>
      <t> Faixa</t>
    </r>
  </si>
  <si>
    <t>De 180.000,01 a 360.000,00</t>
  </si>
  <si>
    <r>
      <t>3</t>
    </r>
    <r>
      <rPr>
        <sz val="8"/>
        <color rgb="FF7A7A7A"/>
        <rFont val="Arial"/>
        <family val="2"/>
      </rPr>
      <t>a</t>
    </r>
    <r>
      <rPr>
        <sz val="9.9"/>
        <color rgb="FF7A7A7A"/>
        <rFont val="Arial"/>
        <family val="2"/>
      </rPr>
      <t> Faixa</t>
    </r>
  </si>
  <si>
    <t>De 360.000,01 a 720.000,00</t>
  </si>
  <si>
    <r>
      <t>4</t>
    </r>
    <r>
      <rPr>
        <sz val="8"/>
        <color rgb="FF7A7A7A"/>
        <rFont val="Arial"/>
        <family val="2"/>
      </rPr>
      <t>a</t>
    </r>
    <r>
      <rPr>
        <sz val="9.9"/>
        <color rgb="FF7A7A7A"/>
        <rFont val="Arial"/>
        <family val="2"/>
      </rPr>
      <t> Faixa</t>
    </r>
  </si>
  <si>
    <t>De 720.000,01 a 1.800.000,00</t>
  </si>
  <si>
    <r>
      <t>5</t>
    </r>
    <r>
      <rPr>
        <sz val="8"/>
        <color rgb="FF7A7A7A"/>
        <rFont val="Arial"/>
        <family val="2"/>
      </rPr>
      <t>a</t>
    </r>
    <r>
      <rPr>
        <sz val="9.9"/>
        <color rgb="FF7A7A7A"/>
        <rFont val="Arial"/>
        <family val="2"/>
      </rPr>
      <t> Faixa</t>
    </r>
  </si>
  <si>
    <t>De 1.800.000,01 a 3.600.000,00</t>
  </si>
  <si>
    <r>
      <t>6</t>
    </r>
    <r>
      <rPr>
        <sz val="8"/>
        <color rgb="FF7A7A7A"/>
        <rFont val="Arial"/>
        <family val="2"/>
      </rPr>
      <t>a</t>
    </r>
    <r>
      <rPr>
        <sz val="9.9"/>
        <color rgb="FF7A7A7A"/>
        <rFont val="Arial"/>
        <family val="2"/>
      </rPr>
      <t> Faixa</t>
    </r>
  </si>
  <si>
    <t>De 3.600.000,01 a 4.800.000,00</t>
  </si>
  <si>
    <t>Faixas</t>
  </si>
  <si>
    <t>Percentual de Repartição dos Tributos</t>
  </si>
  <si>
    <t>Cofins</t>
  </si>
  <si>
    <t>PIS/Pasep</t>
  </si>
  <si>
    <t>CPP</t>
  </si>
  <si>
    <t>Alíquota efetiva = RBT12 * Alíquota Nominal – valor à deduzir /RBT12</t>
  </si>
  <si>
    <t>DAS = Elíquota efetiva * Faturamento</t>
  </si>
  <si>
    <t>Imposto para aliq. Efet.</t>
  </si>
  <si>
    <t>Aliq. Efet.</t>
  </si>
  <si>
    <t>DAS - Revendas s/ ST</t>
  </si>
  <si>
    <t>Aliq. Revenda ST + Mono</t>
  </si>
  <si>
    <t>DAS - Revendas ST + Mono</t>
  </si>
  <si>
    <t>DAS - Revendas ST + Gorjeta</t>
  </si>
  <si>
    <t>Aliq. Revenda ST + Gorjeta</t>
  </si>
  <si>
    <t>Aliq. Mono</t>
  </si>
  <si>
    <t>DAS - Mono</t>
  </si>
  <si>
    <t>ST</t>
  </si>
  <si>
    <t>Aliq. Industrialização isento IPI</t>
  </si>
  <si>
    <t>DAS - Industrialização isento IPI</t>
  </si>
  <si>
    <t>Até R$ 180.000,00</t>
  </si>
  <si>
    <t>De R$ 180.000,01 a R$ 360.000,00</t>
  </si>
  <si>
    <t>De R$ 360.000,01 a R$ 720.000,00</t>
  </si>
  <si>
    <t>De R$ 720.000,01 a R$ 1.800.000,00</t>
  </si>
  <si>
    <t>De R$ 1.800.000,01 a R$ R$ 3.600.000,00</t>
  </si>
  <si>
    <t>De R$ 3.600.000,01 a R$ 4.800.000,00</t>
  </si>
  <si>
    <t>1a Faixa</t>
  </si>
  <si>
    <t>2a Faixa</t>
  </si>
  <si>
    <t>3a Faixa</t>
  </si>
  <si>
    <t>4a Faixa</t>
  </si>
  <si>
    <t>5a Faixa</t>
  </si>
  <si>
    <t>6a Faixa</t>
  </si>
  <si>
    <t>Max</t>
  </si>
  <si>
    <t>Min</t>
  </si>
  <si>
    <t>Aliq. Faixa - Anexo 1</t>
  </si>
  <si>
    <t>Aliq. Faixa - Anexo 2</t>
  </si>
  <si>
    <t>Imposto para aliq. Efet. - Anexo 2</t>
  </si>
  <si>
    <t>Aliq. Efet. - Anexo 2</t>
  </si>
  <si>
    <t>S/ IPI</t>
  </si>
  <si>
    <t>Mono</t>
  </si>
  <si>
    <t>Mono + ST</t>
  </si>
  <si>
    <t>Percentual (%)</t>
  </si>
  <si>
    <t>Serviço anexo 3 (R$)</t>
  </si>
  <si>
    <t>x</t>
  </si>
  <si>
    <t>RBT12</t>
  </si>
  <si>
    <t>RBT12p</t>
  </si>
  <si>
    <t>RBT12 Final</t>
  </si>
  <si>
    <t>Receita Acumulada</t>
  </si>
  <si>
    <t>Total DAS</t>
  </si>
  <si>
    <t>Dados coletados</t>
  </si>
  <si>
    <t>DAS Calculado</t>
  </si>
  <si>
    <t>Revenda - SEM  ST - Substituto</t>
  </si>
  <si>
    <t>Revenda - COM ST -  Substituído</t>
  </si>
  <si>
    <t>Revenda - SEM ST - Isenta ICMS</t>
  </si>
  <si>
    <t>Venda de mercadoria ind. - SEM ST - Substituto</t>
  </si>
  <si>
    <t>Venda de mercadoria ind. - COM ST - Substituído</t>
  </si>
  <si>
    <t>Cálculo dos Tributos</t>
  </si>
  <si>
    <t>RBT12simulado</t>
  </si>
  <si>
    <t>Início da Projeção</t>
  </si>
  <si>
    <t>ICMS 6ª faixa</t>
  </si>
  <si>
    <t>-</t>
  </si>
  <si>
    <t>Aliq. Efet. - Anexo 3</t>
  </si>
  <si>
    <t>Imposto para Aliq. Efet. - Anexo 3</t>
  </si>
  <si>
    <t>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</si>
</sst>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0.0%"/>
    <numFmt numFmtId="166" formatCode="0.00%;;&quot;-&quot;"/>
    <numFmt numFmtId="168" formatCode="#,##0.00;;&quot;-&quot;"/>
    <numFmt numFmtId="170" formatCode="#,##0.00;;&quot;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9"/>
      <color rgb="FF7A7A7A"/>
      <name val="Arial"/>
      <family val="2"/>
    </font>
    <font>
      <b/>
      <sz val="9.9"/>
      <color rgb="FF7A7A7A"/>
      <name val="Arial"/>
      <family val="2"/>
    </font>
    <font>
      <sz val="8"/>
      <color rgb="FF7A7A7A"/>
      <name val="Arial"/>
      <family val="2"/>
    </font>
    <font>
      <i/>
      <sz val="11"/>
      <color theme="0" tint="-0.3499862666707357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5DBF9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dashed">
        <color theme="1" tint="4.9989318521683403E-2"/>
      </left>
      <right style="dashed">
        <color theme="1" tint="4.9989318521683403E-2"/>
      </right>
      <top style="dashed">
        <color theme="1" tint="4.9989318521683403E-2"/>
      </top>
      <bottom style="dashed">
        <color theme="1" tint="4.9989318521683403E-2"/>
      </bottom>
      <diagonal/>
    </border>
  </borders>
  <cellStyleXfs count="1">
    <xf numFmtId="0" fontId="0" fillId="0" borderId="0"/>
  </cellStyleXfs>
  <cellXfs count="58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4" fontId="1" fillId="0" borderId="0" xfId="0" applyNumberFormat="1" applyFont="1"/>
    <xf numFmtId="0" fontId="0" fillId="0" borderId="0" xfId="0" applyAlignment="1">
      <alignment horizontal="left" indent="1"/>
    </xf>
    <xf numFmtId="10" fontId="0" fillId="0" borderId="0" xfId="0" applyNumberFormat="1"/>
    <xf numFmtId="9" fontId="0" fillId="0" borderId="0" xfId="0" applyNumberFormat="1"/>
    <xf numFmtId="0" fontId="0" fillId="2" borderId="0" xfId="0" applyFill="1"/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0" fontId="2" fillId="2" borderId="1" xfId="0" applyNumberFormat="1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8" fontId="0" fillId="0" borderId="0" xfId="0" applyNumberFormat="1"/>
    <xf numFmtId="0" fontId="3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vertical="top" wrapText="1"/>
    </xf>
    <xf numFmtId="10" fontId="5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3" xfId="0" applyFont="1" applyBorder="1"/>
    <xf numFmtId="4" fontId="0" fillId="0" borderId="3" xfId="0" applyNumberFormat="1" applyBorder="1"/>
    <xf numFmtId="17" fontId="6" fillId="4" borderId="0" xfId="0" applyNumberFormat="1" applyFont="1" applyFill="1" applyAlignment="1">
      <alignment horizontal="center"/>
    </xf>
    <xf numFmtId="0" fontId="7" fillId="4" borderId="0" xfId="0" applyFont="1" applyFill="1"/>
    <xf numFmtId="0" fontId="8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4" fontId="1" fillId="0" borderId="3" xfId="0" applyNumberFormat="1" applyFont="1" applyBorder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left" indent="1"/>
    </xf>
    <xf numFmtId="0" fontId="1" fillId="0" borderId="3" xfId="0" applyFont="1" applyBorder="1" applyAlignment="1">
      <alignment horizontal="left"/>
    </xf>
    <xf numFmtId="17" fontId="6" fillId="0" borderId="0" xfId="0" applyNumberFormat="1" applyFont="1" applyAlignment="1">
      <alignment horizontal="left"/>
    </xf>
    <xf numFmtId="0" fontId="1" fillId="5" borderId="0" xfId="0" applyFont="1" applyFill="1"/>
    <xf numFmtId="166" fontId="5" fillId="0" borderId="0" xfId="0" applyNumberFormat="1" applyFont="1" applyAlignment="1">
      <alignment horizontal="center"/>
    </xf>
    <xf numFmtId="17" fontId="6" fillId="3" borderId="4" xfId="0" applyNumberFormat="1" applyFont="1" applyFill="1" applyBorder="1" applyAlignment="1">
      <alignment horizontal="center"/>
    </xf>
    <xf numFmtId="4" fontId="1" fillId="3" borderId="3" xfId="0" applyNumberFormat="1" applyFont="1" applyFill="1" applyBorder="1"/>
    <xf numFmtId="170" fontId="0" fillId="3" borderId="0" xfId="0" applyNumberFormat="1" applyFill="1"/>
    <xf numFmtId="17" fontId="10" fillId="6" borderId="0" xfId="0" applyNumberFormat="1" applyFont="1" applyFill="1" applyAlignment="1">
      <alignment horizontal="center"/>
    </xf>
    <xf numFmtId="0" fontId="1" fillId="3" borderId="0" xfId="0" applyFont="1" applyFill="1"/>
    <xf numFmtId="4" fontId="0" fillId="5" borderId="0" xfId="0" applyNumberFormat="1" applyFill="1"/>
    <xf numFmtId="168" fontId="0" fillId="3" borderId="0" xfId="0" applyNumberFormat="1" applyFill="1" applyAlignment="1">
      <alignment horizontal="left"/>
    </xf>
    <xf numFmtId="4" fontId="1" fillId="5" borderId="0" xfId="0" applyNumberFormat="1" applyFont="1" applyFill="1"/>
    <xf numFmtId="168" fontId="0" fillId="3" borderId="0" xfId="0" applyNumberFormat="1" applyFill="1" applyAlignment="1">
      <alignment horizontal="right"/>
    </xf>
    <xf numFmtId="168" fontId="1" fillId="3" borderId="0" xfId="0" applyNumberFormat="1" applyFont="1" applyFill="1" applyAlignment="1">
      <alignment horizontal="right"/>
    </xf>
    <xf numFmtId="170" fontId="0" fillId="5" borderId="0" xfId="0" applyNumberFormat="1" applyFill="1"/>
    <xf numFmtId="170" fontId="0" fillId="5" borderId="0" xfId="0" applyNumberFormat="1" applyFill="1" applyAlignment="1">
      <alignment wrapText="1"/>
    </xf>
    <xf numFmtId="17" fontId="11" fillId="4" borderId="0" xfId="0" applyNumberFormat="1" applyFont="1" applyFill="1" applyAlignment="1">
      <alignment horizontal="center"/>
    </xf>
    <xf numFmtId="4" fontId="12" fillId="7" borderId="3" xfId="0" applyNumberFormat="1" applyFont="1" applyFill="1" applyBorder="1"/>
    <xf numFmtId="170" fontId="13" fillId="7" borderId="0" xfId="0" applyNumberFormat="1" applyFont="1" applyFill="1"/>
    <xf numFmtId="0" fontId="1" fillId="8" borderId="0" xfId="0" applyFont="1" applyFill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b/>
        <i val="0"/>
        <color theme="9"/>
      </font>
    </dxf>
    <dxf>
      <font>
        <b/>
        <i val="0"/>
        <color rgb="FFC00000"/>
      </font>
    </dxf>
    <dxf>
      <font>
        <b/>
        <i/>
        <color theme="9" tint="-0.24994659260841701"/>
      </font>
    </dxf>
    <dxf>
      <font>
        <b/>
        <i/>
        <color rgb="FFC00000"/>
      </font>
    </dxf>
  </dxfs>
  <tableStyles count="0" defaultTableStyle="TableStyleMedium2" defaultPivotStyle="PivotStyleLight16"/>
  <colors>
    <mruColors>
      <color rgb="FF0A1D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_Izzi_ppt">
  <a:themeElements>
    <a:clrScheme name="Personalizada 4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B4AE0"/>
      </a:accent1>
      <a:accent2>
        <a:srgbClr val="39C1FA"/>
      </a:accent2>
      <a:accent3>
        <a:srgbClr val="0E2F60"/>
      </a:accent3>
      <a:accent4>
        <a:srgbClr val="F2F5EB"/>
      </a:accent4>
      <a:accent5>
        <a:srgbClr val="FFFFFF"/>
      </a:accent5>
      <a:accent6>
        <a:srgbClr val="AFBAF3"/>
      </a:accent6>
      <a:hlink>
        <a:srgbClr val="5B9BD5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_Izzi_ppt" id="{AC97BAE7-9745-4E6E-A7F0-267F49F5AE26}" vid="{88FD3663-C833-4A1C-A8B9-4199C09AF46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1925-A4FC-45A7-AD51-1BD08E6B5980}">
  <sheetPr>
    <tabColor theme="4" tint="0.79998168889431442"/>
  </sheetPr>
  <dimension ref="A1:BP57"/>
  <sheetViews>
    <sheetView tabSelected="1" zoomScaleNormal="100" workbookViewId="0">
      <pane xSplit="2" ySplit="3" topLeftCell="C4" activePane="bottomRight" state="frozen"/>
      <selection activeCell="C66" sqref="C66"/>
      <selection pane="topRight" activeCell="C66" sqref="C66"/>
      <selection pane="bottomLeft" activeCell="C66" sqref="C66"/>
      <selection pane="bottomRight" activeCell="D2" sqref="D2"/>
    </sheetView>
  </sheetViews>
  <sheetFormatPr defaultColWidth="8.85546875" defaultRowHeight="15" outlineLevelRow="1" x14ac:dyDescent="0.25"/>
  <cols>
    <col min="1" max="1" width="2" bestFit="1" customWidth="1"/>
    <col min="2" max="2" width="52.28515625" bestFit="1" customWidth="1"/>
    <col min="3" max="13" width="12.140625" customWidth="1"/>
    <col min="14" max="65" width="12.140625" bestFit="1" customWidth="1"/>
    <col min="66" max="66" width="11.7109375" bestFit="1" customWidth="1"/>
    <col min="67" max="67" width="2.7109375" bestFit="1" customWidth="1"/>
  </cols>
  <sheetData>
    <row r="1" spans="1:67" x14ac:dyDescent="0.25">
      <c r="B1" s="17" t="s">
        <v>82</v>
      </c>
      <c r="C1" s="25">
        <f t="shared" ref="C1:E1" si="0">MONTH(C3)</f>
        <v>11</v>
      </c>
      <c r="D1" s="25">
        <f t="shared" si="0"/>
        <v>12</v>
      </c>
      <c r="E1" s="25">
        <f t="shared" si="0"/>
        <v>1</v>
      </c>
      <c r="F1" s="25">
        <f t="shared" ref="F1:L1" si="1">MONTH(F3)</f>
        <v>2</v>
      </c>
      <c r="G1" s="25">
        <f t="shared" si="1"/>
        <v>3</v>
      </c>
      <c r="H1" s="25">
        <f t="shared" si="1"/>
        <v>4</v>
      </c>
      <c r="I1" s="25">
        <f t="shared" si="1"/>
        <v>5</v>
      </c>
      <c r="J1" s="25">
        <f t="shared" si="1"/>
        <v>6</v>
      </c>
      <c r="K1" s="25">
        <f t="shared" si="1"/>
        <v>7</v>
      </c>
      <c r="L1" s="25">
        <f t="shared" si="1"/>
        <v>8</v>
      </c>
      <c r="M1" s="25">
        <f t="shared" ref="M1:Z1" si="2">MONTH(M3)</f>
        <v>9</v>
      </c>
      <c r="N1" s="25">
        <f t="shared" si="2"/>
        <v>10</v>
      </c>
      <c r="O1" s="25">
        <f t="shared" si="2"/>
        <v>11</v>
      </c>
      <c r="P1" s="25">
        <f t="shared" si="2"/>
        <v>12</v>
      </c>
      <c r="Q1" s="25">
        <f t="shared" si="2"/>
        <v>1</v>
      </c>
      <c r="R1" s="25">
        <f t="shared" si="2"/>
        <v>2</v>
      </c>
      <c r="S1" s="25">
        <f t="shared" si="2"/>
        <v>3</v>
      </c>
      <c r="T1" s="25">
        <f t="shared" si="2"/>
        <v>4</v>
      </c>
      <c r="U1" s="25">
        <f t="shared" si="2"/>
        <v>5</v>
      </c>
      <c r="V1" s="25">
        <f t="shared" si="2"/>
        <v>6</v>
      </c>
      <c r="W1" s="25">
        <f t="shared" si="2"/>
        <v>7</v>
      </c>
      <c r="X1" s="25">
        <f t="shared" si="2"/>
        <v>8</v>
      </c>
      <c r="Y1" s="25">
        <f t="shared" si="2"/>
        <v>9</v>
      </c>
      <c r="Z1" s="25">
        <f t="shared" si="2"/>
        <v>10</v>
      </c>
      <c r="AA1" s="25">
        <f t="shared" ref="AA1:BB1" si="3">MONTH(AA3)</f>
        <v>11</v>
      </c>
      <c r="AB1" s="25">
        <f t="shared" si="3"/>
        <v>12</v>
      </c>
      <c r="AC1" s="25">
        <f t="shared" si="3"/>
        <v>1</v>
      </c>
      <c r="AD1" s="25">
        <f t="shared" si="3"/>
        <v>2</v>
      </c>
      <c r="AE1" s="25">
        <f t="shared" si="3"/>
        <v>3</v>
      </c>
      <c r="AF1" s="25">
        <f t="shared" si="3"/>
        <v>4</v>
      </c>
      <c r="AG1" s="25">
        <f t="shared" si="3"/>
        <v>5</v>
      </c>
      <c r="AH1" s="25">
        <f t="shared" si="3"/>
        <v>6</v>
      </c>
      <c r="AI1" s="25">
        <f t="shared" si="3"/>
        <v>7</v>
      </c>
      <c r="AJ1" s="25">
        <f t="shared" si="3"/>
        <v>8</v>
      </c>
      <c r="AK1" s="25">
        <f t="shared" si="3"/>
        <v>9</v>
      </c>
      <c r="AL1" s="25">
        <f t="shared" si="3"/>
        <v>10</v>
      </c>
      <c r="AM1" s="25">
        <f t="shared" si="3"/>
        <v>11</v>
      </c>
      <c r="AN1" s="25">
        <f t="shared" si="3"/>
        <v>12</v>
      </c>
      <c r="AO1" s="25">
        <f t="shared" si="3"/>
        <v>1</v>
      </c>
      <c r="AP1" s="25">
        <f t="shared" si="3"/>
        <v>2</v>
      </c>
      <c r="AQ1" s="25">
        <f t="shared" si="3"/>
        <v>3</v>
      </c>
      <c r="AR1" s="25">
        <f t="shared" si="3"/>
        <v>4</v>
      </c>
      <c r="AS1" s="25">
        <f t="shared" si="3"/>
        <v>5</v>
      </c>
      <c r="AT1" s="25">
        <f t="shared" si="3"/>
        <v>6</v>
      </c>
      <c r="AU1" s="25">
        <f t="shared" si="3"/>
        <v>7</v>
      </c>
      <c r="AV1" s="25">
        <f t="shared" si="3"/>
        <v>8</v>
      </c>
      <c r="AW1" s="25">
        <f t="shared" si="3"/>
        <v>9</v>
      </c>
      <c r="AX1" s="25">
        <f t="shared" si="3"/>
        <v>10</v>
      </c>
      <c r="AY1" s="25">
        <f t="shared" si="3"/>
        <v>11</v>
      </c>
      <c r="AZ1" s="25">
        <f t="shared" si="3"/>
        <v>12</v>
      </c>
      <c r="BA1" s="25">
        <f t="shared" si="3"/>
        <v>1</v>
      </c>
      <c r="BB1" s="25">
        <f t="shared" si="3"/>
        <v>2</v>
      </c>
      <c r="BC1" s="25">
        <f t="shared" ref="BC1:BK1" si="4">MONTH(BC3)</f>
        <v>3</v>
      </c>
      <c r="BD1" s="25">
        <f t="shared" si="4"/>
        <v>4</v>
      </c>
      <c r="BE1" s="25">
        <f t="shared" si="4"/>
        <v>5</v>
      </c>
      <c r="BF1" s="25">
        <f t="shared" si="4"/>
        <v>6</v>
      </c>
      <c r="BG1" s="25">
        <f t="shared" si="4"/>
        <v>7</v>
      </c>
      <c r="BH1" s="25">
        <f t="shared" si="4"/>
        <v>8</v>
      </c>
      <c r="BI1" s="25">
        <f t="shared" si="4"/>
        <v>9</v>
      </c>
      <c r="BJ1" s="25">
        <f t="shared" si="4"/>
        <v>10</v>
      </c>
      <c r="BK1" s="25">
        <f t="shared" si="4"/>
        <v>11</v>
      </c>
      <c r="BL1" s="25">
        <f t="shared" ref="BL1:BM1" si="5">MONTH(BL3)</f>
        <v>12</v>
      </c>
      <c r="BM1" s="25">
        <f t="shared" si="5"/>
        <v>1</v>
      </c>
      <c r="BO1" s="19" t="s">
        <v>67</v>
      </c>
    </row>
    <row r="2" spans="1:67" x14ac:dyDescent="0.25">
      <c r="B2" s="41">
        <v>46054</v>
      </c>
      <c r="C2" s="35">
        <f t="shared" ref="C2:L2" si="6">YEAR(C3)</f>
        <v>2021</v>
      </c>
      <c r="D2" s="35">
        <f t="shared" si="6"/>
        <v>2021</v>
      </c>
      <c r="E2" s="35">
        <f t="shared" si="6"/>
        <v>2022</v>
      </c>
      <c r="F2" s="35">
        <f t="shared" si="6"/>
        <v>2022</v>
      </c>
      <c r="G2" s="35">
        <f t="shared" si="6"/>
        <v>2022</v>
      </c>
      <c r="H2" s="35">
        <f t="shared" si="6"/>
        <v>2022</v>
      </c>
      <c r="I2" s="35">
        <f t="shared" si="6"/>
        <v>2022</v>
      </c>
      <c r="J2" s="35">
        <f t="shared" si="6"/>
        <v>2022</v>
      </c>
      <c r="K2" s="35">
        <f t="shared" si="6"/>
        <v>2022</v>
      </c>
      <c r="L2" s="35">
        <f t="shared" si="6"/>
        <v>2022</v>
      </c>
      <c r="M2" s="35">
        <f t="shared" ref="M2:Z2" si="7">YEAR(M3)</f>
        <v>2022</v>
      </c>
      <c r="N2" s="35">
        <f t="shared" si="7"/>
        <v>2022</v>
      </c>
      <c r="O2" s="35">
        <f t="shared" si="7"/>
        <v>2022</v>
      </c>
      <c r="P2" s="35">
        <f t="shared" si="7"/>
        <v>2022</v>
      </c>
      <c r="Q2" s="35">
        <f t="shared" si="7"/>
        <v>2023</v>
      </c>
      <c r="R2" s="35">
        <f t="shared" si="7"/>
        <v>2023</v>
      </c>
      <c r="S2" s="35">
        <f t="shared" si="7"/>
        <v>2023</v>
      </c>
      <c r="T2" s="35">
        <f t="shared" si="7"/>
        <v>2023</v>
      </c>
      <c r="U2" s="35">
        <f t="shared" si="7"/>
        <v>2023</v>
      </c>
      <c r="V2" s="35">
        <f t="shared" si="7"/>
        <v>2023</v>
      </c>
      <c r="W2" s="35">
        <f t="shared" si="7"/>
        <v>2023</v>
      </c>
      <c r="X2" s="35">
        <f t="shared" si="7"/>
        <v>2023</v>
      </c>
      <c r="Y2" s="35">
        <f t="shared" si="7"/>
        <v>2023</v>
      </c>
      <c r="Z2" s="35">
        <f t="shared" si="7"/>
        <v>2023</v>
      </c>
      <c r="AA2" s="35">
        <f t="shared" ref="AA2:BM2" si="8">YEAR(AA3)</f>
        <v>2023</v>
      </c>
      <c r="AB2" s="35">
        <f t="shared" si="8"/>
        <v>2023</v>
      </c>
      <c r="AC2" s="35">
        <f t="shared" si="8"/>
        <v>2024</v>
      </c>
      <c r="AD2" s="35">
        <f t="shared" si="8"/>
        <v>2024</v>
      </c>
      <c r="AE2" s="35">
        <f t="shared" si="8"/>
        <v>2024</v>
      </c>
      <c r="AF2" s="35">
        <f t="shared" si="8"/>
        <v>2024</v>
      </c>
      <c r="AG2" s="35">
        <f t="shared" si="8"/>
        <v>2024</v>
      </c>
      <c r="AH2" s="35">
        <f t="shared" si="8"/>
        <v>2024</v>
      </c>
      <c r="AI2" s="35">
        <f t="shared" si="8"/>
        <v>2024</v>
      </c>
      <c r="AJ2" s="35">
        <f t="shared" si="8"/>
        <v>2024</v>
      </c>
      <c r="AK2" s="35">
        <f t="shared" si="8"/>
        <v>2024</v>
      </c>
      <c r="AL2" s="35">
        <f t="shared" si="8"/>
        <v>2024</v>
      </c>
      <c r="AM2" s="35">
        <f t="shared" si="8"/>
        <v>2024</v>
      </c>
      <c r="AN2" s="35">
        <f t="shared" si="8"/>
        <v>2024</v>
      </c>
      <c r="AO2" s="35">
        <f t="shared" si="8"/>
        <v>2025</v>
      </c>
      <c r="AP2" s="35">
        <f t="shared" si="8"/>
        <v>2025</v>
      </c>
      <c r="AQ2" s="35">
        <f t="shared" si="8"/>
        <v>2025</v>
      </c>
      <c r="AR2" s="35">
        <f t="shared" si="8"/>
        <v>2025</v>
      </c>
      <c r="AS2" s="35">
        <f t="shared" si="8"/>
        <v>2025</v>
      </c>
      <c r="AT2" s="35">
        <f t="shared" si="8"/>
        <v>2025</v>
      </c>
      <c r="AU2" s="35">
        <f t="shared" si="8"/>
        <v>2025</v>
      </c>
      <c r="AV2" s="35">
        <f t="shared" si="8"/>
        <v>2025</v>
      </c>
      <c r="AW2" s="35">
        <f t="shared" si="8"/>
        <v>2025</v>
      </c>
      <c r="AX2" s="35">
        <f t="shared" si="8"/>
        <v>2025</v>
      </c>
      <c r="AY2" s="35">
        <f t="shared" si="8"/>
        <v>2025</v>
      </c>
      <c r="AZ2" s="35">
        <f t="shared" si="8"/>
        <v>2025</v>
      </c>
      <c r="BA2" s="35">
        <f t="shared" si="8"/>
        <v>2026</v>
      </c>
      <c r="BB2" s="35">
        <f t="shared" si="8"/>
        <v>2026</v>
      </c>
      <c r="BC2" s="35">
        <f t="shared" si="8"/>
        <v>2026</v>
      </c>
      <c r="BD2" s="35">
        <f t="shared" si="8"/>
        <v>2026</v>
      </c>
      <c r="BE2" s="35">
        <f t="shared" si="8"/>
        <v>2026</v>
      </c>
      <c r="BF2" s="35">
        <f t="shared" si="8"/>
        <v>2026</v>
      </c>
      <c r="BG2" s="35">
        <f t="shared" si="8"/>
        <v>2026</v>
      </c>
      <c r="BH2" s="35">
        <f t="shared" si="8"/>
        <v>2026</v>
      </c>
      <c r="BI2" s="35">
        <f t="shared" si="8"/>
        <v>2026</v>
      </c>
      <c r="BJ2" s="35">
        <f t="shared" si="8"/>
        <v>2026</v>
      </c>
      <c r="BK2" s="35">
        <f t="shared" si="8"/>
        <v>2026</v>
      </c>
      <c r="BL2" s="35">
        <f t="shared" si="8"/>
        <v>2026</v>
      </c>
      <c r="BM2" s="35">
        <f t="shared" si="8"/>
        <v>2027</v>
      </c>
      <c r="BO2" s="19" t="s">
        <v>67</v>
      </c>
    </row>
    <row r="3" spans="1:67" x14ac:dyDescent="0.25">
      <c r="C3" s="24">
        <f t="shared" ref="C3" si="9">EDATE(D3,-1)</f>
        <v>44501</v>
      </c>
      <c r="D3" s="24">
        <f t="shared" ref="D3" si="10">EDATE(E3,-1)</f>
        <v>44531</v>
      </c>
      <c r="E3" s="24">
        <f t="shared" ref="E3" si="11">EDATE(F3,-1)</f>
        <v>44562</v>
      </c>
      <c r="F3" s="24">
        <f t="shared" ref="F3" si="12">EDATE(G3,-1)</f>
        <v>44593</v>
      </c>
      <c r="G3" s="24">
        <f t="shared" ref="G3" si="13">EDATE(H3,-1)</f>
        <v>44621</v>
      </c>
      <c r="H3" s="24">
        <f t="shared" ref="H3" si="14">EDATE(I3,-1)</f>
        <v>44652</v>
      </c>
      <c r="I3" s="24">
        <f t="shared" ref="I3" si="15">EDATE(J3,-1)</f>
        <v>44682</v>
      </c>
      <c r="J3" s="24">
        <f t="shared" ref="J3" si="16">EDATE(K3,-1)</f>
        <v>44713</v>
      </c>
      <c r="K3" s="24">
        <f t="shared" ref="K3" si="17">EDATE(L3,-1)</f>
        <v>44743</v>
      </c>
      <c r="L3" s="24">
        <f t="shared" ref="L3" si="18">EDATE(M3,-1)</f>
        <v>44774</v>
      </c>
      <c r="M3" s="24">
        <f t="shared" ref="M3:Z3" si="19">EDATE(N3,-1)</f>
        <v>44805</v>
      </c>
      <c r="N3" s="24">
        <f t="shared" si="19"/>
        <v>44835</v>
      </c>
      <c r="O3" s="24">
        <f t="shared" si="19"/>
        <v>44866</v>
      </c>
      <c r="P3" s="24">
        <f t="shared" si="19"/>
        <v>44896</v>
      </c>
      <c r="Q3" s="24">
        <f t="shared" si="19"/>
        <v>44927</v>
      </c>
      <c r="R3" s="24">
        <f t="shared" si="19"/>
        <v>44958</v>
      </c>
      <c r="S3" s="24">
        <f t="shared" si="19"/>
        <v>44986</v>
      </c>
      <c r="T3" s="24">
        <f t="shared" si="19"/>
        <v>45017</v>
      </c>
      <c r="U3" s="24">
        <f t="shared" si="19"/>
        <v>45047</v>
      </c>
      <c r="V3" s="24">
        <f t="shared" si="19"/>
        <v>45078</v>
      </c>
      <c r="W3" s="24">
        <f t="shared" si="19"/>
        <v>45108</v>
      </c>
      <c r="X3" s="24">
        <f t="shared" si="19"/>
        <v>45139</v>
      </c>
      <c r="Y3" s="24">
        <f t="shared" si="19"/>
        <v>45170</v>
      </c>
      <c r="Z3" s="24">
        <f t="shared" si="19"/>
        <v>45200</v>
      </c>
      <c r="AA3" s="24">
        <f t="shared" ref="AA3:BA3" si="20">EDATE(AB3,-1)</f>
        <v>45231</v>
      </c>
      <c r="AB3" s="24">
        <f t="shared" si="20"/>
        <v>45261</v>
      </c>
      <c r="AC3" s="24">
        <f t="shared" si="20"/>
        <v>45292</v>
      </c>
      <c r="AD3" s="24">
        <f t="shared" si="20"/>
        <v>45323</v>
      </c>
      <c r="AE3" s="24">
        <f t="shared" si="20"/>
        <v>45352</v>
      </c>
      <c r="AF3" s="24">
        <f t="shared" si="20"/>
        <v>45383</v>
      </c>
      <c r="AG3" s="24">
        <f t="shared" si="20"/>
        <v>45413</v>
      </c>
      <c r="AH3" s="24">
        <f t="shared" si="20"/>
        <v>45444</v>
      </c>
      <c r="AI3" s="24">
        <f t="shared" si="20"/>
        <v>45474</v>
      </c>
      <c r="AJ3" s="24">
        <f t="shared" si="20"/>
        <v>45505</v>
      </c>
      <c r="AK3" s="24">
        <f t="shared" si="20"/>
        <v>45536</v>
      </c>
      <c r="AL3" s="24">
        <f t="shared" si="20"/>
        <v>45566</v>
      </c>
      <c r="AM3" s="24">
        <f t="shared" si="20"/>
        <v>45597</v>
      </c>
      <c r="AN3" s="24">
        <f t="shared" si="20"/>
        <v>45627</v>
      </c>
      <c r="AO3" s="24">
        <f t="shared" si="20"/>
        <v>45658</v>
      </c>
      <c r="AP3" s="24">
        <f t="shared" si="20"/>
        <v>45689</v>
      </c>
      <c r="AQ3" s="24">
        <f t="shared" si="20"/>
        <v>45717</v>
      </c>
      <c r="AR3" s="24">
        <f t="shared" si="20"/>
        <v>45748</v>
      </c>
      <c r="AS3" s="24">
        <f t="shared" si="20"/>
        <v>45778</v>
      </c>
      <c r="AT3" s="24">
        <f t="shared" si="20"/>
        <v>45809</v>
      </c>
      <c r="AU3" s="24">
        <f t="shared" si="20"/>
        <v>45839</v>
      </c>
      <c r="AV3" s="24">
        <f t="shared" si="20"/>
        <v>45870</v>
      </c>
      <c r="AW3" s="24">
        <f t="shared" si="20"/>
        <v>45901</v>
      </c>
      <c r="AX3" s="24">
        <f t="shared" si="20"/>
        <v>45931</v>
      </c>
      <c r="AY3" s="24">
        <f t="shared" si="20"/>
        <v>45962</v>
      </c>
      <c r="AZ3" s="24">
        <f t="shared" si="20"/>
        <v>45992</v>
      </c>
      <c r="BA3" s="24">
        <f t="shared" si="20"/>
        <v>46023</v>
      </c>
      <c r="BB3" s="44">
        <f>$B$2</f>
        <v>46054</v>
      </c>
      <c r="BC3" s="44">
        <f>EDATE(BB3,1)</f>
        <v>46082</v>
      </c>
      <c r="BD3" s="44">
        <f t="shared" ref="BD3:BK3" si="21">EDATE(BC3,1)</f>
        <v>46113</v>
      </c>
      <c r="BE3" s="44">
        <f t="shared" si="21"/>
        <v>46143</v>
      </c>
      <c r="BF3" s="44">
        <f t="shared" si="21"/>
        <v>46174</v>
      </c>
      <c r="BG3" s="44">
        <f t="shared" si="21"/>
        <v>46204</v>
      </c>
      <c r="BH3" s="44">
        <f t="shared" si="21"/>
        <v>46235</v>
      </c>
      <c r="BI3" s="44">
        <f t="shared" si="21"/>
        <v>46266</v>
      </c>
      <c r="BJ3" s="44">
        <f t="shared" si="21"/>
        <v>46296</v>
      </c>
      <c r="BK3" s="44">
        <f t="shared" si="21"/>
        <v>46327</v>
      </c>
      <c r="BL3" s="44">
        <f t="shared" ref="BL3:BM3" si="22">EDATE(BK3,1)</f>
        <v>46357</v>
      </c>
      <c r="BM3" s="44">
        <f t="shared" si="22"/>
        <v>46388</v>
      </c>
      <c r="BO3" s="19" t="s">
        <v>67</v>
      </c>
    </row>
    <row r="4" spans="1:67" x14ac:dyDescent="0.25">
      <c r="A4" s="31" t="s">
        <v>67</v>
      </c>
      <c r="B4" s="30" t="s">
        <v>73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O4" s="19" t="s">
        <v>67</v>
      </c>
    </row>
    <row r="5" spans="1:67" x14ac:dyDescent="0.25">
      <c r="A5" s="32"/>
      <c r="B5" s="3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38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O5" s="19" t="s">
        <v>67</v>
      </c>
    </row>
    <row r="6" spans="1:67" x14ac:dyDescent="0.25">
      <c r="B6" s="37" t="s">
        <v>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42">
        <f>IFERROR(AVERAGE(AP6:BA6),0)</f>
        <v>0</v>
      </c>
      <c r="BC6" s="42">
        <f>BB6</f>
        <v>0</v>
      </c>
      <c r="BD6" s="42">
        <f>BC6</f>
        <v>0</v>
      </c>
      <c r="BE6" s="42">
        <f t="shared" ref="BE6:BM6" si="23">BD6</f>
        <v>0</v>
      </c>
      <c r="BF6" s="42">
        <f t="shared" si="23"/>
        <v>0</v>
      </c>
      <c r="BG6" s="42">
        <f t="shared" si="23"/>
        <v>0</v>
      </c>
      <c r="BH6" s="42">
        <f t="shared" si="23"/>
        <v>0</v>
      </c>
      <c r="BI6" s="42">
        <f t="shared" si="23"/>
        <v>0</v>
      </c>
      <c r="BJ6" s="42">
        <f t="shared" si="23"/>
        <v>0</v>
      </c>
      <c r="BK6" s="42">
        <f t="shared" si="23"/>
        <v>0</v>
      </c>
      <c r="BL6" s="42">
        <f t="shared" si="23"/>
        <v>0</v>
      </c>
      <c r="BM6" s="42">
        <f t="shared" si="23"/>
        <v>0</v>
      </c>
      <c r="BN6" s="1"/>
      <c r="BO6" s="19" t="s">
        <v>67</v>
      </c>
    </row>
    <row r="7" spans="1:67" x14ac:dyDescent="0.25">
      <c r="B7" s="4" t="s">
        <v>75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43">
        <f>IFERROR(BB$6*BA15,"-")</f>
        <v>0</v>
      </c>
      <c r="BC7" s="43">
        <f t="shared" ref="BC7" si="24">IFERROR(BC$6*BB15,"-")</f>
        <v>0</v>
      </c>
      <c r="BD7" s="43">
        <f t="shared" ref="BD7:BM7" si="25">IFERROR(BD$6*BC15,"-")</f>
        <v>0</v>
      </c>
      <c r="BE7" s="43">
        <f t="shared" si="25"/>
        <v>0</v>
      </c>
      <c r="BF7" s="43">
        <f t="shared" si="25"/>
        <v>0</v>
      </c>
      <c r="BG7" s="43">
        <f t="shared" si="25"/>
        <v>0</v>
      </c>
      <c r="BH7" s="43">
        <f t="shared" si="25"/>
        <v>0</v>
      </c>
      <c r="BI7" s="43">
        <f t="shared" si="25"/>
        <v>0</v>
      </c>
      <c r="BJ7" s="43">
        <f t="shared" si="25"/>
        <v>0</v>
      </c>
      <c r="BK7" s="43">
        <f t="shared" si="25"/>
        <v>0</v>
      </c>
      <c r="BL7" s="43">
        <f t="shared" si="25"/>
        <v>0</v>
      </c>
      <c r="BM7" s="43">
        <f t="shared" si="25"/>
        <v>0</v>
      </c>
      <c r="BO7" s="19" t="s">
        <v>67</v>
      </c>
    </row>
    <row r="8" spans="1:67" x14ac:dyDescent="0.25">
      <c r="B8" s="4" t="s">
        <v>77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43">
        <f t="shared" ref="BB8:BC8" si="26">IFERROR(BB$6*BA16,"-")</f>
        <v>0</v>
      </c>
      <c r="BC8" s="43">
        <f t="shared" si="26"/>
        <v>0</v>
      </c>
      <c r="BD8" s="43">
        <f t="shared" ref="BD8:BM14" si="27">IFERROR(BD$6*BC16,"-")</f>
        <v>0</v>
      </c>
      <c r="BE8" s="43">
        <f t="shared" si="27"/>
        <v>0</v>
      </c>
      <c r="BF8" s="43">
        <f t="shared" si="27"/>
        <v>0</v>
      </c>
      <c r="BG8" s="43">
        <f t="shared" si="27"/>
        <v>0</v>
      </c>
      <c r="BH8" s="43">
        <f t="shared" si="27"/>
        <v>0</v>
      </c>
      <c r="BI8" s="43">
        <f t="shared" si="27"/>
        <v>0</v>
      </c>
      <c r="BJ8" s="43">
        <f t="shared" si="27"/>
        <v>0</v>
      </c>
      <c r="BK8" s="43">
        <f t="shared" si="27"/>
        <v>0</v>
      </c>
      <c r="BL8" s="43">
        <f t="shared" si="27"/>
        <v>0</v>
      </c>
      <c r="BM8" s="43">
        <f t="shared" si="27"/>
        <v>0</v>
      </c>
      <c r="BO8" s="19" t="s">
        <v>67</v>
      </c>
    </row>
    <row r="9" spans="1:67" x14ac:dyDescent="0.25">
      <c r="B9" s="4" t="s">
        <v>76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43">
        <f t="shared" ref="BB9:BC9" si="28">IFERROR(BB$6*BA17,"-")</f>
        <v>0</v>
      </c>
      <c r="BC9" s="43">
        <f t="shared" si="28"/>
        <v>0</v>
      </c>
      <c r="BD9" s="43">
        <f t="shared" si="27"/>
        <v>0</v>
      </c>
      <c r="BE9" s="43">
        <f t="shared" si="27"/>
        <v>0</v>
      </c>
      <c r="BF9" s="43">
        <f t="shared" si="27"/>
        <v>0</v>
      </c>
      <c r="BG9" s="43">
        <f t="shared" si="27"/>
        <v>0</v>
      </c>
      <c r="BH9" s="43">
        <f t="shared" si="27"/>
        <v>0</v>
      </c>
      <c r="BI9" s="43">
        <f t="shared" si="27"/>
        <v>0</v>
      </c>
      <c r="BJ9" s="43">
        <f t="shared" si="27"/>
        <v>0</v>
      </c>
      <c r="BK9" s="43">
        <f t="shared" si="27"/>
        <v>0</v>
      </c>
      <c r="BL9" s="43">
        <f t="shared" si="27"/>
        <v>0</v>
      </c>
      <c r="BM9" s="43">
        <f t="shared" si="27"/>
        <v>0</v>
      </c>
      <c r="BO9" s="19" t="s">
        <v>67</v>
      </c>
    </row>
    <row r="10" spans="1:67" x14ac:dyDescent="0.25">
      <c r="B10" s="4" t="s">
        <v>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43">
        <f t="shared" ref="BB10:BC10" si="29">IFERROR(BB$6*BA18,"-")</f>
        <v>0</v>
      </c>
      <c r="BC10" s="43">
        <f t="shared" si="29"/>
        <v>0</v>
      </c>
      <c r="BD10" s="43">
        <f t="shared" si="27"/>
        <v>0</v>
      </c>
      <c r="BE10" s="43">
        <f t="shared" si="27"/>
        <v>0</v>
      </c>
      <c r="BF10" s="43">
        <f t="shared" si="27"/>
        <v>0</v>
      </c>
      <c r="BG10" s="43">
        <f t="shared" si="27"/>
        <v>0</v>
      </c>
      <c r="BH10" s="43">
        <f t="shared" si="27"/>
        <v>0</v>
      </c>
      <c r="BI10" s="43">
        <f t="shared" si="27"/>
        <v>0</v>
      </c>
      <c r="BJ10" s="43">
        <f t="shared" si="27"/>
        <v>0</v>
      </c>
      <c r="BK10" s="43">
        <f t="shared" si="27"/>
        <v>0</v>
      </c>
      <c r="BL10" s="43">
        <f t="shared" si="27"/>
        <v>0</v>
      </c>
      <c r="BM10" s="43">
        <f t="shared" si="27"/>
        <v>0</v>
      </c>
      <c r="BO10" s="19" t="s">
        <v>67</v>
      </c>
    </row>
    <row r="11" spans="1:67" x14ac:dyDescent="0.25">
      <c r="B11" s="4" t="s">
        <v>6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43">
        <f t="shared" ref="BB11:BC11" si="30">IFERROR(BB$6*BA19,"-")</f>
        <v>0</v>
      </c>
      <c r="BC11" s="43">
        <f t="shared" si="30"/>
        <v>0</v>
      </c>
      <c r="BD11" s="43">
        <f t="shared" si="27"/>
        <v>0</v>
      </c>
      <c r="BE11" s="43">
        <f t="shared" si="27"/>
        <v>0</v>
      </c>
      <c r="BF11" s="43">
        <f t="shared" si="27"/>
        <v>0</v>
      </c>
      <c r="BG11" s="43">
        <f t="shared" si="27"/>
        <v>0</v>
      </c>
      <c r="BH11" s="43">
        <f t="shared" si="27"/>
        <v>0</v>
      </c>
      <c r="BI11" s="43">
        <f t="shared" si="27"/>
        <v>0</v>
      </c>
      <c r="BJ11" s="43">
        <f t="shared" si="27"/>
        <v>0</v>
      </c>
      <c r="BK11" s="43">
        <f t="shared" si="27"/>
        <v>0</v>
      </c>
      <c r="BL11" s="43">
        <f t="shared" si="27"/>
        <v>0</v>
      </c>
      <c r="BM11" s="43">
        <f t="shared" si="27"/>
        <v>0</v>
      </c>
      <c r="BN11" s="6"/>
      <c r="BO11" s="19" t="s">
        <v>67</v>
      </c>
    </row>
    <row r="12" spans="1:67" x14ac:dyDescent="0.25">
      <c r="B12" s="4" t="s">
        <v>78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43">
        <f t="shared" ref="BB12:BC12" si="31">IFERROR(BB$6*BA20,"-")</f>
        <v>0</v>
      </c>
      <c r="BC12" s="43">
        <f t="shared" si="31"/>
        <v>0</v>
      </c>
      <c r="BD12" s="43">
        <f t="shared" si="27"/>
        <v>0</v>
      </c>
      <c r="BE12" s="43">
        <f t="shared" si="27"/>
        <v>0</v>
      </c>
      <c r="BF12" s="43">
        <f t="shared" si="27"/>
        <v>0</v>
      </c>
      <c r="BG12" s="43">
        <f t="shared" si="27"/>
        <v>0</v>
      </c>
      <c r="BH12" s="43">
        <f t="shared" si="27"/>
        <v>0</v>
      </c>
      <c r="BI12" s="43">
        <f t="shared" si="27"/>
        <v>0</v>
      </c>
      <c r="BJ12" s="43">
        <f t="shared" si="27"/>
        <v>0</v>
      </c>
      <c r="BK12" s="43">
        <f t="shared" si="27"/>
        <v>0</v>
      </c>
      <c r="BL12" s="43">
        <f t="shared" si="27"/>
        <v>0</v>
      </c>
      <c r="BM12" s="43">
        <f t="shared" si="27"/>
        <v>0</v>
      </c>
      <c r="BN12" s="6"/>
      <c r="BO12" s="19" t="s">
        <v>67</v>
      </c>
    </row>
    <row r="13" spans="1:67" x14ac:dyDescent="0.25">
      <c r="B13" s="4" t="s">
        <v>79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43">
        <f t="shared" ref="BB13:BC13" si="32">IFERROR(BB$6*BA21,"-")</f>
        <v>0</v>
      </c>
      <c r="BC13" s="43">
        <f t="shared" si="32"/>
        <v>0</v>
      </c>
      <c r="BD13" s="43">
        <f t="shared" si="27"/>
        <v>0</v>
      </c>
      <c r="BE13" s="43">
        <f t="shared" si="27"/>
        <v>0</v>
      </c>
      <c r="BF13" s="43">
        <f t="shared" si="27"/>
        <v>0</v>
      </c>
      <c r="BG13" s="43">
        <f t="shared" si="27"/>
        <v>0</v>
      </c>
      <c r="BH13" s="43">
        <f t="shared" si="27"/>
        <v>0</v>
      </c>
      <c r="BI13" s="43">
        <f t="shared" si="27"/>
        <v>0</v>
      </c>
      <c r="BJ13" s="43">
        <f t="shared" si="27"/>
        <v>0</v>
      </c>
      <c r="BK13" s="43">
        <f t="shared" si="27"/>
        <v>0</v>
      </c>
      <c r="BL13" s="43">
        <f t="shared" si="27"/>
        <v>0</v>
      </c>
      <c r="BM13" s="43">
        <f t="shared" si="27"/>
        <v>0</v>
      </c>
      <c r="BO13" s="19" t="s">
        <v>67</v>
      </c>
    </row>
    <row r="14" spans="1:67" x14ac:dyDescent="0.25">
      <c r="B14" s="4" t="s">
        <v>66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43">
        <f t="shared" ref="BB14:BC14" si="33">IFERROR(BB$6*BA22,"-")</f>
        <v>0</v>
      </c>
      <c r="BC14" s="43">
        <f t="shared" si="33"/>
        <v>0</v>
      </c>
      <c r="BD14" s="43">
        <f t="shared" si="27"/>
        <v>0</v>
      </c>
      <c r="BE14" s="43">
        <f t="shared" si="27"/>
        <v>0</v>
      </c>
      <c r="BF14" s="43">
        <f t="shared" si="27"/>
        <v>0</v>
      </c>
      <c r="BG14" s="43">
        <f t="shared" si="27"/>
        <v>0</v>
      </c>
      <c r="BH14" s="43">
        <f t="shared" si="27"/>
        <v>0</v>
      </c>
      <c r="BI14" s="43">
        <f t="shared" si="27"/>
        <v>0</v>
      </c>
      <c r="BJ14" s="43">
        <f t="shared" si="27"/>
        <v>0</v>
      </c>
      <c r="BK14" s="43">
        <f t="shared" si="27"/>
        <v>0</v>
      </c>
      <c r="BL14" s="43">
        <f t="shared" si="27"/>
        <v>0</v>
      </c>
      <c r="BM14" s="43">
        <f t="shared" si="27"/>
        <v>0</v>
      </c>
      <c r="BO14" s="19" t="s">
        <v>67</v>
      </c>
    </row>
    <row r="15" spans="1:67" x14ac:dyDescent="0.25">
      <c r="B15" s="18" t="str">
        <f t="shared" ref="B15:B22" si="34">"Percentual (%) "&amp;B7</f>
        <v>Percentual (%) Revenda - SEM  ST - Substituto</v>
      </c>
      <c r="C15" s="40">
        <f>IFERROR(IF(C7/C$6=0,0,C7/C$6),0)</f>
        <v>0</v>
      </c>
      <c r="D15" s="40">
        <f t="shared" ref="D15:BM19" si="35">IFERROR(IF(D7/D$6=0,0,D7/D$6),0)</f>
        <v>0</v>
      </c>
      <c r="E15" s="40">
        <f t="shared" si="35"/>
        <v>0</v>
      </c>
      <c r="F15" s="40">
        <f t="shared" si="35"/>
        <v>0</v>
      </c>
      <c r="G15" s="40">
        <f t="shared" si="35"/>
        <v>0</v>
      </c>
      <c r="H15" s="40">
        <f t="shared" si="35"/>
        <v>0</v>
      </c>
      <c r="I15" s="40">
        <f t="shared" si="35"/>
        <v>0</v>
      </c>
      <c r="J15" s="40">
        <f t="shared" si="35"/>
        <v>0</v>
      </c>
      <c r="K15" s="40">
        <f t="shared" si="35"/>
        <v>0</v>
      </c>
      <c r="L15" s="40">
        <f t="shared" si="35"/>
        <v>0</v>
      </c>
      <c r="M15" s="40">
        <f t="shared" si="35"/>
        <v>0</v>
      </c>
      <c r="N15" s="40">
        <f t="shared" si="35"/>
        <v>0</v>
      </c>
      <c r="O15" s="40">
        <f t="shared" si="35"/>
        <v>0</v>
      </c>
      <c r="P15" s="40">
        <f t="shared" si="35"/>
        <v>0</v>
      </c>
      <c r="Q15" s="40">
        <f t="shared" si="35"/>
        <v>0</v>
      </c>
      <c r="R15" s="40">
        <f t="shared" si="35"/>
        <v>0</v>
      </c>
      <c r="S15" s="40">
        <f t="shared" si="35"/>
        <v>0</v>
      </c>
      <c r="T15" s="40">
        <f t="shared" si="35"/>
        <v>0</v>
      </c>
      <c r="U15" s="40">
        <f t="shared" si="35"/>
        <v>0</v>
      </c>
      <c r="V15" s="40">
        <f t="shared" si="35"/>
        <v>0</v>
      </c>
      <c r="W15" s="40">
        <f t="shared" si="35"/>
        <v>0</v>
      </c>
      <c r="X15" s="40">
        <f t="shared" si="35"/>
        <v>0</v>
      </c>
      <c r="Y15" s="40">
        <f t="shared" si="35"/>
        <v>0</v>
      </c>
      <c r="Z15" s="40">
        <f t="shared" si="35"/>
        <v>0</v>
      </c>
      <c r="AA15" s="40">
        <f t="shared" si="35"/>
        <v>0</v>
      </c>
      <c r="AB15" s="40">
        <f t="shared" si="35"/>
        <v>0</v>
      </c>
      <c r="AC15" s="40">
        <f t="shared" si="35"/>
        <v>0</v>
      </c>
      <c r="AD15" s="40">
        <f t="shared" si="35"/>
        <v>0</v>
      </c>
      <c r="AE15" s="40">
        <f t="shared" si="35"/>
        <v>0</v>
      </c>
      <c r="AF15" s="40">
        <f t="shared" si="35"/>
        <v>0</v>
      </c>
      <c r="AG15" s="40">
        <f t="shared" si="35"/>
        <v>0</v>
      </c>
      <c r="AH15" s="40">
        <f t="shared" si="35"/>
        <v>0</v>
      </c>
      <c r="AI15" s="40">
        <f t="shared" si="35"/>
        <v>0</v>
      </c>
      <c r="AJ15" s="40">
        <f t="shared" si="35"/>
        <v>0</v>
      </c>
      <c r="AK15" s="40">
        <f t="shared" si="35"/>
        <v>0</v>
      </c>
      <c r="AL15" s="40">
        <f t="shared" si="35"/>
        <v>0</v>
      </c>
      <c r="AM15" s="40">
        <f t="shared" si="35"/>
        <v>0</v>
      </c>
      <c r="AN15" s="40">
        <f t="shared" si="35"/>
        <v>0</v>
      </c>
      <c r="AO15" s="40">
        <f t="shared" si="35"/>
        <v>0</v>
      </c>
      <c r="AP15" s="40">
        <f t="shared" ref="AP15:AP18" si="36">IFERROR(IF(AP7/AP$6=0,0,AP7/AP$6),0)</f>
        <v>0</v>
      </c>
      <c r="AQ15" s="40">
        <f t="shared" si="35"/>
        <v>0</v>
      </c>
      <c r="AR15" s="40">
        <f t="shared" si="35"/>
        <v>0</v>
      </c>
      <c r="AS15" s="40">
        <f t="shared" si="35"/>
        <v>0</v>
      </c>
      <c r="AT15" s="40">
        <f t="shared" si="35"/>
        <v>0</v>
      </c>
      <c r="AU15" s="40">
        <f t="shared" si="35"/>
        <v>0</v>
      </c>
      <c r="AV15" s="40">
        <f t="shared" si="35"/>
        <v>0</v>
      </c>
      <c r="AW15" s="40">
        <f t="shared" si="35"/>
        <v>0</v>
      </c>
      <c r="AX15" s="40">
        <f t="shared" si="35"/>
        <v>0</v>
      </c>
      <c r="AY15" s="40">
        <f t="shared" si="35"/>
        <v>0</v>
      </c>
      <c r="AZ15" s="40">
        <f t="shared" si="35"/>
        <v>0</v>
      </c>
      <c r="BA15" s="40">
        <f>IFERROR(IF(BA7/BA$6=0,0,BA7/BA$6),0)</f>
        <v>0</v>
      </c>
      <c r="BB15" s="40">
        <f t="shared" si="35"/>
        <v>0</v>
      </c>
      <c r="BC15" s="40">
        <f t="shared" si="35"/>
        <v>0</v>
      </c>
      <c r="BD15" s="40">
        <f t="shared" si="35"/>
        <v>0</v>
      </c>
      <c r="BE15" s="40">
        <f t="shared" si="35"/>
        <v>0</v>
      </c>
      <c r="BF15" s="40">
        <f t="shared" si="35"/>
        <v>0</v>
      </c>
      <c r="BG15" s="40">
        <f t="shared" si="35"/>
        <v>0</v>
      </c>
      <c r="BH15" s="40">
        <f t="shared" si="35"/>
        <v>0</v>
      </c>
      <c r="BI15" s="40">
        <f t="shared" si="35"/>
        <v>0</v>
      </c>
      <c r="BJ15" s="40">
        <f t="shared" si="35"/>
        <v>0</v>
      </c>
      <c r="BK15" s="40">
        <f t="shared" si="35"/>
        <v>0</v>
      </c>
      <c r="BL15" s="40">
        <f t="shared" si="35"/>
        <v>0</v>
      </c>
      <c r="BM15" s="40">
        <f t="shared" si="35"/>
        <v>0</v>
      </c>
      <c r="BO15" s="19" t="s">
        <v>67</v>
      </c>
    </row>
    <row r="16" spans="1:67" x14ac:dyDescent="0.25">
      <c r="B16" s="18" t="str">
        <f t="shared" si="34"/>
        <v>Percentual (%) Revenda - SEM ST - Isenta ICMS</v>
      </c>
      <c r="C16" s="40">
        <f t="shared" ref="C16:R22" si="37">IFERROR(IF(C8/C$6=0,0,C8/C$6),0)</f>
        <v>0</v>
      </c>
      <c r="D16" s="40">
        <f t="shared" si="37"/>
        <v>0</v>
      </c>
      <c r="E16" s="40">
        <f t="shared" si="37"/>
        <v>0</v>
      </c>
      <c r="F16" s="40">
        <f t="shared" si="37"/>
        <v>0</v>
      </c>
      <c r="G16" s="40">
        <f t="shared" si="37"/>
        <v>0</v>
      </c>
      <c r="H16" s="40">
        <f t="shared" si="37"/>
        <v>0</v>
      </c>
      <c r="I16" s="40">
        <f t="shared" si="37"/>
        <v>0</v>
      </c>
      <c r="J16" s="40">
        <f t="shared" si="37"/>
        <v>0</v>
      </c>
      <c r="K16" s="40">
        <f t="shared" si="37"/>
        <v>0</v>
      </c>
      <c r="L16" s="40">
        <f t="shared" si="37"/>
        <v>0</v>
      </c>
      <c r="M16" s="40">
        <f t="shared" si="37"/>
        <v>0</v>
      </c>
      <c r="N16" s="40">
        <f t="shared" si="37"/>
        <v>0</v>
      </c>
      <c r="O16" s="40">
        <f t="shared" si="37"/>
        <v>0</v>
      </c>
      <c r="P16" s="40">
        <f t="shared" si="37"/>
        <v>0</v>
      </c>
      <c r="Q16" s="40">
        <f t="shared" si="37"/>
        <v>0</v>
      </c>
      <c r="R16" s="40">
        <f t="shared" si="37"/>
        <v>0</v>
      </c>
      <c r="S16" s="40">
        <f t="shared" si="35"/>
        <v>0</v>
      </c>
      <c r="T16" s="40">
        <f t="shared" si="35"/>
        <v>0</v>
      </c>
      <c r="U16" s="40">
        <f t="shared" si="35"/>
        <v>0</v>
      </c>
      <c r="V16" s="40">
        <f t="shared" si="35"/>
        <v>0</v>
      </c>
      <c r="W16" s="40">
        <f t="shared" si="35"/>
        <v>0</v>
      </c>
      <c r="X16" s="40">
        <f t="shared" si="35"/>
        <v>0</v>
      </c>
      <c r="Y16" s="40">
        <f t="shared" si="35"/>
        <v>0</v>
      </c>
      <c r="Z16" s="40">
        <f t="shared" si="35"/>
        <v>0</v>
      </c>
      <c r="AA16" s="40">
        <f t="shared" si="35"/>
        <v>0</v>
      </c>
      <c r="AB16" s="40">
        <f t="shared" si="35"/>
        <v>0</v>
      </c>
      <c r="AC16" s="40">
        <f t="shared" si="35"/>
        <v>0</v>
      </c>
      <c r="AD16" s="40">
        <f t="shared" si="35"/>
        <v>0</v>
      </c>
      <c r="AE16" s="40">
        <f t="shared" si="35"/>
        <v>0</v>
      </c>
      <c r="AF16" s="40">
        <f t="shared" si="35"/>
        <v>0</v>
      </c>
      <c r="AG16" s="40">
        <f t="shared" si="35"/>
        <v>0</v>
      </c>
      <c r="AH16" s="40">
        <f t="shared" si="35"/>
        <v>0</v>
      </c>
      <c r="AI16" s="40">
        <f t="shared" si="35"/>
        <v>0</v>
      </c>
      <c r="AJ16" s="40">
        <f t="shared" si="35"/>
        <v>0</v>
      </c>
      <c r="AK16" s="40">
        <f t="shared" si="35"/>
        <v>0</v>
      </c>
      <c r="AL16" s="40">
        <f t="shared" si="35"/>
        <v>0</v>
      </c>
      <c r="AM16" s="40">
        <f t="shared" si="35"/>
        <v>0</v>
      </c>
      <c r="AN16" s="40">
        <f t="shared" si="35"/>
        <v>0</v>
      </c>
      <c r="AO16" s="40">
        <f t="shared" si="35"/>
        <v>0</v>
      </c>
      <c r="AP16" s="40">
        <f t="shared" si="36"/>
        <v>0</v>
      </c>
      <c r="AQ16" s="40">
        <f t="shared" si="35"/>
        <v>0</v>
      </c>
      <c r="AR16" s="40">
        <f t="shared" si="35"/>
        <v>0</v>
      </c>
      <c r="AS16" s="40">
        <f t="shared" si="35"/>
        <v>0</v>
      </c>
      <c r="AT16" s="40">
        <f t="shared" si="35"/>
        <v>0</v>
      </c>
      <c r="AU16" s="40">
        <f t="shared" si="35"/>
        <v>0</v>
      </c>
      <c r="AV16" s="40">
        <f t="shared" si="35"/>
        <v>0</v>
      </c>
      <c r="AW16" s="40">
        <f t="shared" si="35"/>
        <v>0</v>
      </c>
      <c r="AX16" s="40">
        <f t="shared" si="35"/>
        <v>0</v>
      </c>
      <c r="AY16" s="40">
        <f t="shared" si="35"/>
        <v>0</v>
      </c>
      <c r="AZ16" s="40">
        <f t="shared" si="35"/>
        <v>0</v>
      </c>
      <c r="BA16" s="40">
        <f t="shared" si="35"/>
        <v>0</v>
      </c>
      <c r="BB16" s="40">
        <f t="shared" si="35"/>
        <v>0</v>
      </c>
      <c r="BC16" s="40">
        <f t="shared" si="35"/>
        <v>0</v>
      </c>
      <c r="BD16" s="40">
        <f t="shared" si="35"/>
        <v>0</v>
      </c>
      <c r="BE16" s="40">
        <f t="shared" si="35"/>
        <v>0</v>
      </c>
      <c r="BF16" s="40">
        <f t="shared" si="35"/>
        <v>0</v>
      </c>
      <c r="BG16" s="40">
        <f t="shared" si="35"/>
        <v>0</v>
      </c>
      <c r="BH16" s="40">
        <f t="shared" si="35"/>
        <v>0</v>
      </c>
      <c r="BI16" s="40">
        <f t="shared" si="35"/>
        <v>0</v>
      </c>
      <c r="BJ16" s="40">
        <f t="shared" si="35"/>
        <v>0</v>
      </c>
      <c r="BK16" s="40">
        <f t="shared" si="35"/>
        <v>0</v>
      </c>
      <c r="BL16" s="40">
        <f t="shared" si="35"/>
        <v>0</v>
      </c>
      <c r="BM16" s="40">
        <f t="shared" si="35"/>
        <v>0</v>
      </c>
      <c r="BO16" s="19" t="s">
        <v>67</v>
      </c>
    </row>
    <row r="17" spans="2:68" x14ac:dyDescent="0.25">
      <c r="B17" s="18" t="str">
        <f t="shared" si="34"/>
        <v>Percentual (%) Revenda - COM ST -  Substituído</v>
      </c>
      <c r="C17" s="40">
        <f t="shared" si="37"/>
        <v>0</v>
      </c>
      <c r="D17" s="40">
        <f t="shared" si="35"/>
        <v>0</v>
      </c>
      <c r="E17" s="40">
        <f t="shared" si="35"/>
        <v>0</v>
      </c>
      <c r="F17" s="40">
        <f t="shared" si="35"/>
        <v>0</v>
      </c>
      <c r="G17" s="40">
        <f t="shared" si="35"/>
        <v>0</v>
      </c>
      <c r="H17" s="40">
        <f t="shared" si="35"/>
        <v>0</v>
      </c>
      <c r="I17" s="40">
        <f t="shared" si="35"/>
        <v>0</v>
      </c>
      <c r="J17" s="40">
        <f t="shared" si="35"/>
        <v>0</v>
      </c>
      <c r="K17" s="40">
        <f t="shared" si="35"/>
        <v>0</v>
      </c>
      <c r="L17" s="40">
        <f t="shared" si="35"/>
        <v>0</v>
      </c>
      <c r="M17" s="40">
        <f t="shared" si="35"/>
        <v>0</v>
      </c>
      <c r="N17" s="40">
        <f t="shared" si="35"/>
        <v>0</v>
      </c>
      <c r="O17" s="40">
        <f t="shared" si="35"/>
        <v>0</v>
      </c>
      <c r="P17" s="40">
        <f t="shared" si="35"/>
        <v>0</v>
      </c>
      <c r="Q17" s="40">
        <f t="shared" si="35"/>
        <v>0</v>
      </c>
      <c r="R17" s="40">
        <f t="shared" si="35"/>
        <v>0</v>
      </c>
      <c r="S17" s="40">
        <f t="shared" si="35"/>
        <v>0</v>
      </c>
      <c r="T17" s="40">
        <f t="shared" si="35"/>
        <v>0</v>
      </c>
      <c r="U17" s="40">
        <f t="shared" si="35"/>
        <v>0</v>
      </c>
      <c r="V17" s="40">
        <f t="shared" si="35"/>
        <v>0</v>
      </c>
      <c r="W17" s="40">
        <f t="shared" si="35"/>
        <v>0</v>
      </c>
      <c r="X17" s="40">
        <f t="shared" si="35"/>
        <v>0</v>
      </c>
      <c r="Y17" s="40">
        <f t="shared" si="35"/>
        <v>0</v>
      </c>
      <c r="Z17" s="40">
        <f t="shared" si="35"/>
        <v>0</v>
      </c>
      <c r="AA17" s="40">
        <f t="shared" si="35"/>
        <v>0</v>
      </c>
      <c r="AB17" s="40">
        <f t="shared" si="35"/>
        <v>0</v>
      </c>
      <c r="AC17" s="40">
        <f t="shared" si="35"/>
        <v>0</v>
      </c>
      <c r="AD17" s="40">
        <f t="shared" si="35"/>
        <v>0</v>
      </c>
      <c r="AE17" s="40">
        <f t="shared" si="35"/>
        <v>0</v>
      </c>
      <c r="AF17" s="40">
        <f t="shared" si="35"/>
        <v>0</v>
      </c>
      <c r="AG17" s="40">
        <f t="shared" si="35"/>
        <v>0</v>
      </c>
      <c r="AH17" s="40">
        <f t="shared" si="35"/>
        <v>0</v>
      </c>
      <c r="AI17" s="40">
        <f t="shared" si="35"/>
        <v>0</v>
      </c>
      <c r="AJ17" s="40">
        <f t="shared" si="35"/>
        <v>0</v>
      </c>
      <c r="AK17" s="40">
        <f t="shared" si="35"/>
        <v>0</v>
      </c>
      <c r="AL17" s="40">
        <f t="shared" si="35"/>
        <v>0</v>
      </c>
      <c r="AM17" s="40">
        <f t="shared" si="35"/>
        <v>0</v>
      </c>
      <c r="AN17" s="40">
        <f t="shared" si="35"/>
        <v>0</v>
      </c>
      <c r="AO17" s="40">
        <f t="shared" si="35"/>
        <v>0</v>
      </c>
      <c r="AP17" s="40">
        <f t="shared" si="36"/>
        <v>0</v>
      </c>
      <c r="AQ17" s="40">
        <f t="shared" si="35"/>
        <v>0</v>
      </c>
      <c r="AR17" s="40">
        <f t="shared" si="35"/>
        <v>0</v>
      </c>
      <c r="AS17" s="40">
        <f t="shared" si="35"/>
        <v>0</v>
      </c>
      <c r="AT17" s="40">
        <f t="shared" si="35"/>
        <v>0</v>
      </c>
      <c r="AU17" s="40">
        <f t="shared" si="35"/>
        <v>0</v>
      </c>
      <c r="AV17" s="40">
        <f t="shared" si="35"/>
        <v>0</v>
      </c>
      <c r="AW17" s="40">
        <f t="shared" si="35"/>
        <v>0</v>
      </c>
      <c r="AX17" s="40">
        <f t="shared" si="35"/>
        <v>0</v>
      </c>
      <c r="AY17" s="40">
        <f t="shared" si="35"/>
        <v>0</v>
      </c>
      <c r="AZ17" s="40">
        <f t="shared" si="35"/>
        <v>0</v>
      </c>
      <c r="BA17" s="40">
        <f t="shared" si="35"/>
        <v>0</v>
      </c>
      <c r="BB17" s="40">
        <f t="shared" si="35"/>
        <v>0</v>
      </c>
      <c r="BC17" s="40">
        <f t="shared" si="35"/>
        <v>0</v>
      </c>
      <c r="BD17" s="40">
        <f t="shared" si="35"/>
        <v>0</v>
      </c>
      <c r="BE17" s="40">
        <f t="shared" si="35"/>
        <v>0</v>
      </c>
      <c r="BF17" s="40">
        <f t="shared" si="35"/>
        <v>0</v>
      </c>
      <c r="BG17" s="40">
        <f t="shared" si="35"/>
        <v>0</v>
      </c>
      <c r="BH17" s="40">
        <f t="shared" si="35"/>
        <v>0</v>
      </c>
      <c r="BI17" s="40">
        <f t="shared" si="35"/>
        <v>0</v>
      </c>
      <c r="BJ17" s="40">
        <f t="shared" si="35"/>
        <v>0</v>
      </c>
      <c r="BK17" s="40">
        <f t="shared" si="35"/>
        <v>0</v>
      </c>
      <c r="BL17" s="40">
        <f t="shared" si="35"/>
        <v>0</v>
      </c>
      <c r="BM17" s="40">
        <f t="shared" si="35"/>
        <v>0</v>
      </c>
      <c r="BO17" s="19" t="s">
        <v>67</v>
      </c>
    </row>
    <row r="18" spans="2:68" x14ac:dyDescent="0.25">
      <c r="B18" s="18" t="str">
        <f t="shared" si="34"/>
        <v>Percentual (%) Revenda Monofásicos</v>
      </c>
      <c r="C18" s="40">
        <f t="shared" si="37"/>
        <v>0</v>
      </c>
      <c r="D18" s="40">
        <f t="shared" si="35"/>
        <v>0</v>
      </c>
      <c r="E18" s="40">
        <f t="shared" si="35"/>
        <v>0</v>
      </c>
      <c r="F18" s="40">
        <f t="shared" si="35"/>
        <v>0</v>
      </c>
      <c r="G18" s="40">
        <f t="shared" si="35"/>
        <v>0</v>
      </c>
      <c r="H18" s="40">
        <f t="shared" si="35"/>
        <v>0</v>
      </c>
      <c r="I18" s="40">
        <f t="shared" si="35"/>
        <v>0</v>
      </c>
      <c r="J18" s="40">
        <f t="shared" si="35"/>
        <v>0</v>
      </c>
      <c r="K18" s="40">
        <f t="shared" si="35"/>
        <v>0</v>
      </c>
      <c r="L18" s="40">
        <f t="shared" si="35"/>
        <v>0</v>
      </c>
      <c r="M18" s="40">
        <f t="shared" si="35"/>
        <v>0</v>
      </c>
      <c r="N18" s="40">
        <f t="shared" si="35"/>
        <v>0</v>
      </c>
      <c r="O18" s="40">
        <f t="shared" si="35"/>
        <v>0</v>
      </c>
      <c r="P18" s="40">
        <f t="shared" si="35"/>
        <v>0</v>
      </c>
      <c r="Q18" s="40">
        <f t="shared" si="35"/>
        <v>0</v>
      </c>
      <c r="R18" s="40">
        <f t="shared" si="35"/>
        <v>0</v>
      </c>
      <c r="S18" s="40">
        <f t="shared" si="35"/>
        <v>0</v>
      </c>
      <c r="T18" s="40">
        <f t="shared" si="35"/>
        <v>0</v>
      </c>
      <c r="U18" s="40">
        <f t="shared" si="35"/>
        <v>0</v>
      </c>
      <c r="V18" s="40">
        <f t="shared" si="35"/>
        <v>0</v>
      </c>
      <c r="W18" s="40">
        <f t="shared" si="35"/>
        <v>0</v>
      </c>
      <c r="X18" s="40">
        <f t="shared" si="35"/>
        <v>0</v>
      </c>
      <c r="Y18" s="40">
        <f t="shared" si="35"/>
        <v>0</v>
      </c>
      <c r="Z18" s="40">
        <f t="shared" si="35"/>
        <v>0</v>
      </c>
      <c r="AA18" s="40">
        <f t="shared" si="35"/>
        <v>0</v>
      </c>
      <c r="AB18" s="40">
        <f t="shared" si="35"/>
        <v>0</v>
      </c>
      <c r="AC18" s="40">
        <f t="shared" si="35"/>
        <v>0</v>
      </c>
      <c r="AD18" s="40">
        <f>IFERROR(IF(AD10/AD$6=0,0,AD10/AD$6),0)</f>
        <v>0</v>
      </c>
      <c r="AE18" s="40">
        <f t="shared" si="35"/>
        <v>0</v>
      </c>
      <c r="AF18" s="40">
        <f t="shared" si="35"/>
        <v>0</v>
      </c>
      <c r="AG18" s="40">
        <f t="shared" si="35"/>
        <v>0</v>
      </c>
      <c r="AH18" s="40">
        <f t="shared" si="35"/>
        <v>0</v>
      </c>
      <c r="AI18" s="40">
        <f t="shared" si="35"/>
        <v>0</v>
      </c>
      <c r="AJ18" s="40">
        <f t="shared" si="35"/>
        <v>0</v>
      </c>
      <c r="AK18" s="40">
        <f t="shared" si="35"/>
        <v>0</v>
      </c>
      <c r="AL18" s="40">
        <f t="shared" si="35"/>
        <v>0</v>
      </c>
      <c r="AM18" s="40">
        <f t="shared" si="35"/>
        <v>0</v>
      </c>
      <c r="AN18" s="40">
        <f t="shared" si="35"/>
        <v>0</v>
      </c>
      <c r="AO18" s="40">
        <f t="shared" si="35"/>
        <v>0</v>
      </c>
      <c r="AP18" s="40">
        <f t="shared" si="36"/>
        <v>0</v>
      </c>
      <c r="AQ18" s="40">
        <f t="shared" si="35"/>
        <v>0</v>
      </c>
      <c r="AR18" s="40">
        <f t="shared" si="35"/>
        <v>0</v>
      </c>
      <c r="AS18" s="40">
        <f t="shared" si="35"/>
        <v>0</v>
      </c>
      <c r="AT18" s="40">
        <f t="shared" si="35"/>
        <v>0</v>
      </c>
      <c r="AU18" s="40">
        <f t="shared" si="35"/>
        <v>0</v>
      </c>
      <c r="AV18" s="40">
        <f t="shared" si="35"/>
        <v>0</v>
      </c>
      <c r="AW18" s="40">
        <f t="shared" si="35"/>
        <v>0</v>
      </c>
      <c r="AX18" s="40">
        <f t="shared" si="35"/>
        <v>0</v>
      </c>
      <c r="AY18" s="40">
        <f t="shared" si="35"/>
        <v>0</v>
      </c>
      <c r="AZ18" s="40">
        <f t="shared" si="35"/>
        <v>0</v>
      </c>
      <c r="BA18" s="40">
        <f t="shared" si="35"/>
        <v>0</v>
      </c>
      <c r="BB18" s="40">
        <f t="shared" si="35"/>
        <v>0</v>
      </c>
      <c r="BC18" s="40">
        <f t="shared" si="35"/>
        <v>0</v>
      </c>
      <c r="BD18" s="40">
        <f t="shared" si="35"/>
        <v>0</v>
      </c>
      <c r="BE18" s="40">
        <f t="shared" si="35"/>
        <v>0</v>
      </c>
      <c r="BF18" s="40">
        <f t="shared" si="35"/>
        <v>0</v>
      </c>
      <c r="BG18" s="40">
        <f t="shared" si="35"/>
        <v>0</v>
      </c>
      <c r="BH18" s="40">
        <f t="shared" si="35"/>
        <v>0</v>
      </c>
      <c r="BI18" s="40">
        <f t="shared" si="35"/>
        <v>0</v>
      </c>
      <c r="BJ18" s="40">
        <f t="shared" si="35"/>
        <v>0</v>
      </c>
      <c r="BK18" s="40">
        <f t="shared" si="35"/>
        <v>0</v>
      </c>
      <c r="BL18" s="40">
        <f t="shared" si="35"/>
        <v>0</v>
      </c>
      <c r="BM18" s="40">
        <f t="shared" si="35"/>
        <v>0</v>
      </c>
      <c r="BO18" s="19" t="s">
        <v>67</v>
      </c>
    </row>
    <row r="19" spans="2:68" x14ac:dyDescent="0.25">
      <c r="B19" s="18" t="str">
        <f t="shared" si="34"/>
        <v>Percentual (%) Revenda Monofásicos + ST</v>
      </c>
      <c r="C19" s="40">
        <f t="shared" si="37"/>
        <v>0</v>
      </c>
      <c r="D19" s="40">
        <f t="shared" si="35"/>
        <v>0</v>
      </c>
      <c r="E19" s="40">
        <f t="shared" si="35"/>
        <v>0</v>
      </c>
      <c r="F19" s="40">
        <f t="shared" si="35"/>
        <v>0</v>
      </c>
      <c r="G19" s="40">
        <f t="shared" si="35"/>
        <v>0</v>
      </c>
      <c r="H19" s="40">
        <f t="shared" si="35"/>
        <v>0</v>
      </c>
      <c r="I19" s="40">
        <f t="shared" si="35"/>
        <v>0</v>
      </c>
      <c r="J19" s="40">
        <f t="shared" si="35"/>
        <v>0</v>
      </c>
      <c r="K19" s="40">
        <f t="shared" si="35"/>
        <v>0</v>
      </c>
      <c r="L19" s="40">
        <f t="shared" si="35"/>
        <v>0</v>
      </c>
      <c r="M19" s="40">
        <f t="shared" si="35"/>
        <v>0</v>
      </c>
      <c r="N19" s="40">
        <f t="shared" si="35"/>
        <v>0</v>
      </c>
      <c r="O19" s="40">
        <f t="shared" si="35"/>
        <v>0</v>
      </c>
      <c r="P19" s="40">
        <f t="shared" si="35"/>
        <v>0</v>
      </c>
      <c r="Q19" s="40">
        <f t="shared" si="35"/>
        <v>0</v>
      </c>
      <c r="R19" s="40">
        <f t="shared" si="35"/>
        <v>0</v>
      </c>
      <c r="S19" s="40">
        <f t="shared" si="35"/>
        <v>0</v>
      </c>
      <c r="T19" s="40">
        <f t="shared" si="35"/>
        <v>0</v>
      </c>
      <c r="U19" s="40">
        <f t="shared" si="35"/>
        <v>0</v>
      </c>
      <c r="V19" s="40">
        <f t="shared" si="35"/>
        <v>0</v>
      </c>
      <c r="W19" s="40">
        <f t="shared" si="35"/>
        <v>0</v>
      </c>
      <c r="X19" s="40">
        <f t="shared" si="35"/>
        <v>0</v>
      </c>
      <c r="Y19" s="40">
        <f t="shared" si="35"/>
        <v>0</v>
      </c>
      <c r="Z19" s="40">
        <f t="shared" ref="D19:BM22" si="38">IFERROR(IF(Z11/Z$6=0,0,Z11/Z$6),0)</f>
        <v>0</v>
      </c>
      <c r="AA19" s="40">
        <f t="shared" si="38"/>
        <v>0</v>
      </c>
      <c r="AB19" s="40">
        <f t="shared" si="38"/>
        <v>0</v>
      </c>
      <c r="AC19" s="40">
        <f t="shared" si="38"/>
        <v>0</v>
      </c>
      <c r="AD19" s="40">
        <f>IFERROR(IF(AD11/AD$6=0,0,AD11/AD$6),0)</f>
        <v>0</v>
      </c>
      <c r="AE19" s="40">
        <f t="shared" si="38"/>
        <v>0</v>
      </c>
      <c r="AF19" s="40">
        <f t="shared" si="38"/>
        <v>0</v>
      </c>
      <c r="AG19" s="40">
        <f t="shared" si="38"/>
        <v>0</v>
      </c>
      <c r="AH19" s="40">
        <f t="shared" si="38"/>
        <v>0</v>
      </c>
      <c r="AI19" s="40">
        <f t="shared" si="38"/>
        <v>0</v>
      </c>
      <c r="AJ19" s="40">
        <f t="shared" si="38"/>
        <v>0</v>
      </c>
      <c r="AK19" s="40">
        <f t="shared" si="38"/>
        <v>0</v>
      </c>
      <c r="AL19" s="40">
        <f t="shared" si="38"/>
        <v>0</v>
      </c>
      <c r="AM19" s="40">
        <f t="shared" si="38"/>
        <v>0</v>
      </c>
      <c r="AN19" s="40">
        <f t="shared" si="38"/>
        <v>0</v>
      </c>
      <c r="AO19" s="40">
        <f t="shared" si="38"/>
        <v>0</v>
      </c>
      <c r="AP19" s="40">
        <f t="shared" ref="AP19" si="39">IFERROR(IF(AP11/AP$6=0,0,AP11/AP$6),0)</f>
        <v>0</v>
      </c>
      <c r="AQ19" s="40">
        <f t="shared" si="38"/>
        <v>0</v>
      </c>
      <c r="AR19" s="40">
        <f t="shared" si="38"/>
        <v>0</v>
      </c>
      <c r="AS19" s="40">
        <f t="shared" si="38"/>
        <v>0</v>
      </c>
      <c r="AT19" s="40">
        <f t="shared" si="38"/>
        <v>0</v>
      </c>
      <c r="AU19" s="40">
        <f t="shared" si="38"/>
        <v>0</v>
      </c>
      <c r="AV19" s="40">
        <f t="shared" si="38"/>
        <v>0</v>
      </c>
      <c r="AW19" s="40">
        <f t="shared" si="38"/>
        <v>0</v>
      </c>
      <c r="AX19" s="40">
        <f t="shared" si="38"/>
        <v>0</v>
      </c>
      <c r="AY19" s="40">
        <f t="shared" si="38"/>
        <v>0</v>
      </c>
      <c r="AZ19" s="40">
        <f t="shared" si="38"/>
        <v>0</v>
      </c>
      <c r="BA19" s="40">
        <f t="shared" si="38"/>
        <v>0</v>
      </c>
      <c r="BB19" s="40">
        <f t="shared" si="38"/>
        <v>0</v>
      </c>
      <c r="BC19" s="40">
        <f t="shared" si="38"/>
        <v>0</v>
      </c>
      <c r="BD19" s="40">
        <f t="shared" si="38"/>
        <v>0</v>
      </c>
      <c r="BE19" s="40">
        <f t="shared" si="38"/>
        <v>0</v>
      </c>
      <c r="BF19" s="40">
        <f t="shared" si="38"/>
        <v>0</v>
      </c>
      <c r="BG19" s="40">
        <f t="shared" si="38"/>
        <v>0</v>
      </c>
      <c r="BH19" s="40">
        <f t="shared" si="38"/>
        <v>0</v>
      </c>
      <c r="BI19" s="40">
        <f t="shared" si="38"/>
        <v>0</v>
      </c>
      <c r="BJ19" s="40">
        <f t="shared" si="38"/>
        <v>0</v>
      </c>
      <c r="BK19" s="40">
        <f t="shared" si="38"/>
        <v>0</v>
      </c>
      <c r="BL19" s="40">
        <f t="shared" si="38"/>
        <v>0</v>
      </c>
      <c r="BM19" s="40">
        <f t="shared" si="38"/>
        <v>0</v>
      </c>
      <c r="BO19" s="19" t="s">
        <v>67</v>
      </c>
    </row>
    <row r="20" spans="2:68" x14ac:dyDescent="0.25">
      <c r="B20" s="18" t="str">
        <f t="shared" si="34"/>
        <v>Percentual (%) Venda de mercadoria ind. - SEM ST - Substituto</v>
      </c>
      <c r="C20" s="40">
        <f t="shared" si="37"/>
        <v>0</v>
      </c>
      <c r="D20" s="40">
        <f t="shared" si="38"/>
        <v>0</v>
      </c>
      <c r="E20" s="40">
        <f t="shared" si="38"/>
        <v>0</v>
      </c>
      <c r="F20" s="40">
        <f t="shared" si="38"/>
        <v>0</v>
      </c>
      <c r="G20" s="40">
        <f t="shared" si="38"/>
        <v>0</v>
      </c>
      <c r="H20" s="40">
        <f t="shared" si="38"/>
        <v>0</v>
      </c>
      <c r="I20" s="40">
        <f t="shared" si="38"/>
        <v>0</v>
      </c>
      <c r="J20" s="40">
        <f t="shared" si="38"/>
        <v>0</v>
      </c>
      <c r="K20" s="40">
        <f t="shared" si="38"/>
        <v>0</v>
      </c>
      <c r="L20" s="40">
        <f t="shared" si="38"/>
        <v>0</v>
      </c>
      <c r="M20" s="40">
        <f t="shared" si="38"/>
        <v>0</v>
      </c>
      <c r="N20" s="40">
        <f t="shared" si="38"/>
        <v>0</v>
      </c>
      <c r="O20" s="40">
        <f t="shared" si="38"/>
        <v>0</v>
      </c>
      <c r="P20" s="40">
        <f t="shared" si="38"/>
        <v>0</v>
      </c>
      <c r="Q20" s="40">
        <f t="shared" si="38"/>
        <v>0</v>
      </c>
      <c r="R20" s="40">
        <f t="shared" si="38"/>
        <v>0</v>
      </c>
      <c r="S20" s="40">
        <f t="shared" si="38"/>
        <v>0</v>
      </c>
      <c r="T20" s="40">
        <f t="shared" si="38"/>
        <v>0</v>
      </c>
      <c r="U20" s="40">
        <f t="shared" si="38"/>
        <v>0</v>
      </c>
      <c r="V20" s="40">
        <f t="shared" si="38"/>
        <v>0</v>
      </c>
      <c r="W20" s="40">
        <f t="shared" si="38"/>
        <v>0</v>
      </c>
      <c r="X20" s="40">
        <f t="shared" si="38"/>
        <v>0</v>
      </c>
      <c r="Y20" s="40">
        <f t="shared" si="38"/>
        <v>0</v>
      </c>
      <c r="Z20" s="40">
        <f t="shared" si="38"/>
        <v>0</v>
      </c>
      <c r="AA20" s="40">
        <f t="shared" si="38"/>
        <v>0</v>
      </c>
      <c r="AB20" s="40">
        <f t="shared" si="38"/>
        <v>0</v>
      </c>
      <c r="AC20" s="40">
        <f t="shared" si="38"/>
        <v>0</v>
      </c>
      <c r="AD20" s="40">
        <f t="shared" si="38"/>
        <v>0</v>
      </c>
      <c r="AE20" s="40">
        <f t="shared" si="38"/>
        <v>0</v>
      </c>
      <c r="AF20" s="40">
        <f t="shared" si="38"/>
        <v>0</v>
      </c>
      <c r="AG20" s="40">
        <f t="shared" si="38"/>
        <v>0</v>
      </c>
      <c r="AH20" s="40">
        <f t="shared" si="38"/>
        <v>0</v>
      </c>
      <c r="AI20" s="40">
        <f t="shared" si="38"/>
        <v>0</v>
      </c>
      <c r="AJ20" s="40">
        <f t="shared" si="38"/>
        <v>0</v>
      </c>
      <c r="AK20" s="40">
        <f t="shared" si="38"/>
        <v>0</v>
      </c>
      <c r="AL20" s="40">
        <f t="shared" si="38"/>
        <v>0</v>
      </c>
      <c r="AM20" s="40">
        <f t="shared" si="38"/>
        <v>0</v>
      </c>
      <c r="AN20" s="40">
        <f t="shared" si="38"/>
        <v>0</v>
      </c>
      <c r="AO20" s="40">
        <f t="shared" si="38"/>
        <v>0</v>
      </c>
      <c r="AP20" s="40">
        <f t="shared" ref="AP20" si="40">IFERROR(IF(AP12/AP$6=0,0,AP12/AP$6),0)</f>
        <v>0</v>
      </c>
      <c r="AQ20" s="40">
        <f t="shared" si="38"/>
        <v>0</v>
      </c>
      <c r="AR20" s="40">
        <f t="shared" si="38"/>
        <v>0</v>
      </c>
      <c r="AS20" s="40">
        <f t="shared" si="38"/>
        <v>0</v>
      </c>
      <c r="AT20" s="40">
        <f t="shared" si="38"/>
        <v>0</v>
      </c>
      <c r="AU20" s="40">
        <f t="shared" si="38"/>
        <v>0</v>
      </c>
      <c r="AV20" s="40">
        <f t="shared" si="38"/>
        <v>0</v>
      </c>
      <c r="AW20" s="40">
        <f t="shared" si="38"/>
        <v>0</v>
      </c>
      <c r="AX20" s="40">
        <f t="shared" si="38"/>
        <v>0</v>
      </c>
      <c r="AY20" s="40">
        <f t="shared" si="38"/>
        <v>0</v>
      </c>
      <c r="AZ20" s="40">
        <f t="shared" si="38"/>
        <v>0</v>
      </c>
      <c r="BA20" s="40">
        <f t="shared" si="38"/>
        <v>0</v>
      </c>
      <c r="BB20" s="40">
        <f t="shared" si="38"/>
        <v>0</v>
      </c>
      <c r="BC20" s="40">
        <f t="shared" si="38"/>
        <v>0</v>
      </c>
      <c r="BD20" s="40">
        <f t="shared" si="38"/>
        <v>0</v>
      </c>
      <c r="BE20" s="40">
        <f t="shared" si="38"/>
        <v>0</v>
      </c>
      <c r="BF20" s="40">
        <f t="shared" si="38"/>
        <v>0</v>
      </c>
      <c r="BG20" s="40">
        <f t="shared" si="38"/>
        <v>0</v>
      </c>
      <c r="BH20" s="40">
        <f t="shared" si="38"/>
        <v>0</v>
      </c>
      <c r="BI20" s="40">
        <f t="shared" si="38"/>
        <v>0</v>
      </c>
      <c r="BJ20" s="40">
        <f t="shared" si="38"/>
        <v>0</v>
      </c>
      <c r="BK20" s="40">
        <f t="shared" si="38"/>
        <v>0</v>
      </c>
      <c r="BL20" s="40">
        <f t="shared" si="38"/>
        <v>0</v>
      </c>
      <c r="BM20" s="40">
        <f t="shared" si="38"/>
        <v>0</v>
      </c>
      <c r="BO20" s="19" t="s">
        <v>67</v>
      </c>
    </row>
    <row r="21" spans="2:68" x14ac:dyDescent="0.25">
      <c r="B21" s="18" t="str">
        <f t="shared" si="34"/>
        <v>Percentual (%) Venda de mercadoria ind. - COM ST - Substituído</v>
      </c>
      <c r="C21" s="40">
        <f t="shared" si="37"/>
        <v>0</v>
      </c>
      <c r="D21" s="40">
        <f t="shared" si="38"/>
        <v>0</v>
      </c>
      <c r="E21" s="40">
        <f t="shared" si="38"/>
        <v>0</v>
      </c>
      <c r="F21" s="40">
        <f t="shared" si="38"/>
        <v>0</v>
      </c>
      <c r="G21" s="40">
        <f t="shared" si="38"/>
        <v>0</v>
      </c>
      <c r="H21" s="40">
        <f t="shared" si="38"/>
        <v>0</v>
      </c>
      <c r="I21" s="40">
        <f t="shared" si="38"/>
        <v>0</v>
      </c>
      <c r="J21" s="40">
        <f t="shared" si="38"/>
        <v>0</v>
      </c>
      <c r="K21" s="40">
        <f t="shared" si="38"/>
        <v>0</v>
      </c>
      <c r="L21" s="40">
        <f t="shared" si="38"/>
        <v>0</v>
      </c>
      <c r="M21" s="40">
        <f t="shared" si="38"/>
        <v>0</v>
      </c>
      <c r="N21" s="40">
        <f t="shared" si="38"/>
        <v>0</v>
      </c>
      <c r="O21" s="40">
        <f t="shared" si="38"/>
        <v>0</v>
      </c>
      <c r="P21" s="40">
        <f t="shared" si="38"/>
        <v>0</v>
      </c>
      <c r="Q21" s="40">
        <f t="shared" si="38"/>
        <v>0</v>
      </c>
      <c r="R21" s="40">
        <f t="shared" si="38"/>
        <v>0</v>
      </c>
      <c r="S21" s="40">
        <f t="shared" si="38"/>
        <v>0</v>
      </c>
      <c r="T21" s="40">
        <f t="shared" si="38"/>
        <v>0</v>
      </c>
      <c r="U21" s="40">
        <f t="shared" si="38"/>
        <v>0</v>
      </c>
      <c r="V21" s="40">
        <f t="shared" si="38"/>
        <v>0</v>
      </c>
      <c r="W21" s="40">
        <f t="shared" si="38"/>
        <v>0</v>
      </c>
      <c r="X21" s="40">
        <f t="shared" si="38"/>
        <v>0</v>
      </c>
      <c r="Y21" s="40">
        <f t="shared" si="38"/>
        <v>0</v>
      </c>
      <c r="Z21" s="40">
        <f t="shared" si="38"/>
        <v>0</v>
      </c>
      <c r="AA21" s="40">
        <f t="shared" si="38"/>
        <v>0</v>
      </c>
      <c r="AB21" s="40">
        <f t="shared" si="38"/>
        <v>0</v>
      </c>
      <c r="AC21" s="40">
        <f t="shared" si="38"/>
        <v>0</v>
      </c>
      <c r="AD21" s="40">
        <f t="shared" si="38"/>
        <v>0</v>
      </c>
      <c r="AE21" s="40">
        <f t="shared" si="38"/>
        <v>0</v>
      </c>
      <c r="AF21" s="40">
        <f t="shared" si="38"/>
        <v>0</v>
      </c>
      <c r="AG21" s="40">
        <f t="shared" si="38"/>
        <v>0</v>
      </c>
      <c r="AH21" s="40">
        <f t="shared" si="38"/>
        <v>0</v>
      </c>
      <c r="AI21" s="40">
        <f t="shared" si="38"/>
        <v>0</v>
      </c>
      <c r="AJ21" s="40">
        <f t="shared" si="38"/>
        <v>0</v>
      </c>
      <c r="AK21" s="40">
        <f t="shared" si="38"/>
        <v>0</v>
      </c>
      <c r="AL21" s="40">
        <f t="shared" si="38"/>
        <v>0</v>
      </c>
      <c r="AM21" s="40">
        <f t="shared" si="38"/>
        <v>0</v>
      </c>
      <c r="AN21" s="40">
        <f t="shared" si="38"/>
        <v>0</v>
      </c>
      <c r="AO21" s="40">
        <f t="shared" si="38"/>
        <v>0</v>
      </c>
      <c r="AP21" s="40">
        <f t="shared" ref="AP21" si="41">IFERROR(IF(AP13/AP$6=0,0,AP13/AP$6),0)</f>
        <v>0</v>
      </c>
      <c r="AQ21" s="40">
        <f t="shared" si="38"/>
        <v>0</v>
      </c>
      <c r="AR21" s="40">
        <f t="shared" si="38"/>
        <v>0</v>
      </c>
      <c r="AS21" s="40">
        <f t="shared" si="38"/>
        <v>0</v>
      </c>
      <c r="AT21" s="40">
        <f t="shared" si="38"/>
        <v>0</v>
      </c>
      <c r="AU21" s="40">
        <f t="shared" si="38"/>
        <v>0</v>
      </c>
      <c r="AV21" s="40">
        <f t="shared" si="38"/>
        <v>0</v>
      </c>
      <c r="AW21" s="40">
        <f t="shared" si="38"/>
        <v>0</v>
      </c>
      <c r="AX21" s="40">
        <f t="shared" si="38"/>
        <v>0</v>
      </c>
      <c r="AY21" s="40">
        <f t="shared" si="38"/>
        <v>0</v>
      </c>
      <c r="AZ21" s="40">
        <f t="shared" si="38"/>
        <v>0</v>
      </c>
      <c r="BA21" s="40">
        <f t="shared" si="38"/>
        <v>0</v>
      </c>
      <c r="BB21" s="40">
        <f t="shared" si="38"/>
        <v>0</v>
      </c>
      <c r="BC21" s="40">
        <f t="shared" si="38"/>
        <v>0</v>
      </c>
      <c r="BD21" s="40">
        <f t="shared" si="38"/>
        <v>0</v>
      </c>
      <c r="BE21" s="40">
        <f t="shared" si="38"/>
        <v>0</v>
      </c>
      <c r="BF21" s="40">
        <f t="shared" si="38"/>
        <v>0</v>
      </c>
      <c r="BG21" s="40">
        <f t="shared" si="38"/>
        <v>0</v>
      </c>
      <c r="BH21" s="40">
        <f t="shared" si="38"/>
        <v>0</v>
      </c>
      <c r="BI21" s="40">
        <f t="shared" si="38"/>
        <v>0</v>
      </c>
      <c r="BJ21" s="40">
        <f t="shared" si="38"/>
        <v>0</v>
      </c>
      <c r="BK21" s="40">
        <f t="shared" si="38"/>
        <v>0</v>
      </c>
      <c r="BL21" s="40">
        <f t="shared" si="38"/>
        <v>0</v>
      </c>
      <c r="BM21" s="40">
        <f t="shared" si="38"/>
        <v>0</v>
      </c>
      <c r="BO21" s="19" t="s">
        <v>67</v>
      </c>
    </row>
    <row r="22" spans="2:68" x14ac:dyDescent="0.25">
      <c r="B22" s="18" t="str">
        <f t="shared" si="34"/>
        <v>Percentual (%) Serviço anexo 3 (R$)</v>
      </c>
      <c r="C22" s="40">
        <f t="shared" si="37"/>
        <v>0</v>
      </c>
      <c r="D22" s="40">
        <f t="shared" si="38"/>
        <v>0</v>
      </c>
      <c r="E22" s="40">
        <f t="shared" si="38"/>
        <v>0</v>
      </c>
      <c r="F22" s="40">
        <f t="shared" si="38"/>
        <v>0</v>
      </c>
      <c r="G22" s="40">
        <f t="shared" si="38"/>
        <v>0</v>
      </c>
      <c r="H22" s="40">
        <f t="shared" si="38"/>
        <v>0</v>
      </c>
      <c r="I22" s="40">
        <f t="shared" si="38"/>
        <v>0</v>
      </c>
      <c r="J22" s="40">
        <f t="shared" si="38"/>
        <v>0</v>
      </c>
      <c r="K22" s="40">
        <f t="shared" si="38"/>
        <v>0</v>
      </c>
      <c r="L22" s="40">
        <f t="shared" si="38"/>
        <v>0</v>
      </c>
      <c r="M22" s="40">
        <f t="shared" si="38"/>
        <v>0</v>
      </c>
      <c r="N22" s="40">
        <f t="shared" si="38"/>
        <v>0</v>
      </c>
      <c r="O22" s="40">
        <f t="shared" si="38"/>
        <v>0</v>
      </c>
      <c r="P22" s="40">
        <f t="shared" si="38"/>
        <v>0</v>
      </c>
      <c r="Q22" s="40">
        <f t="shared" si="38"/>
        <v>0</v>
      </c>
      <c r="R22" s="40">
        <f t="shared" si="38"/>
        <v>0</v>
      </c>
      <c r="S22" s="40">
        <f t="shared" si="38"/>
        <v>0</v>
      </c>
      <c r="T22" s="40">
        <f t="shared" si="38"/>
        <v>0</v>
      </c>
      <c r="U22" s="40">
        <f t="shared" si="38"/>
        <v>0</v>
      </c>
      <c r="V22" s="40">
        <f t="shared" si="38"/>
        <v>0</v>
      </c>
      <c r="W22" s="40">
        <f t="shared" si="38"/>
        <v>0</v>
      </c>
      <c r="X22" s="40">
        <f t="shared" si="38"/>
        <v>0</v>
      </c>
      <c r="Y22" s="40">
        <f t="shared" si="38"/>
        <v>0</v>
      </c>
      <c r="Z22" s="40">
        <f t="shared" si="38"/>
        <v>0</v>
      </c>
      <c r="AA22" s="40">
        <f t="shared" si="38"/>
        <v>0</v>
      </c>
      <c r="AB22" s="40">
        <f t="shared" si="38"/>
        <v>0</v>
      </c>
      <c r="AC22" s="40">
        <f t="shared" si="38"/>
        <v>0</v>
      </c>
      <c r="AD22" s="40">
        <f t="shared" si="38"/>
        <v>0</v>
      </c>
      <c r="AE22" s="40">
        <f t="shared" si="38"/>
        <v>0</v>
      </c>
      <c r="AF22" s="40">
        <f t="shared" si="38"/>
        <v>0</v>
      </c>
      <c r="AG22" s="40">
        <f t="shared" si="38"/>
        <v>0</v>
      </c>
      <c r="AH22" s="40">
        <f t="shared" si="38"/>
        <v>0</v>
      </c>
      <c r="AI22" s="40">
        <f t="shared" si="38"/>
        <v>0</v>
      </c>
      <c r="AJ22" s="40">
        <f t="shared" si="38"/>
        <v>0</v>
      </c>
      <c r="AK22" s="40">
        <f t="shared" si="38"/>
        <v>0</v>
      </c>
      <c r="AL22" s="40">
        <f t="shared" si="38"/>
        <v>0</v>
      </c>
      <c r="AM22" s="40">
        <f t="shared" si="38"/>
        <v>0</v>
      </c>
      <c r="AN22" s="40">
        <f t="shared" si="38"/>
        <v>0</v>
      </c>
      <c r="AO22" s="40">
        <f t="shared" si="38"/>
        <v>0</v>
      </c>
      <c r="AP22" s="40">
        <f t="shared" ref="AP22" si="42">IFERROR(IF(AP14/AP$6=0,0,AP14/AP$6),0)</f>
        <v>0</v>
      </c>
      <c r="AQ22" s="40">
        <f t="shared" si="38"/>
        <v>0</v>
      </c>
      <c r="AR22" s="40">
        <f t="shared" si="38"/>
        <v>0</v>
      </c>
      <c r="AS22" s="40">
        <f t="shared" si="38"/>
        <v>0</v>
      </c>
      <c r="AT22" s="40">
        <f t="shared" si="38"/>
        <v>0</v>
      </c>
      <c r="AU22" s="40">
        <f t="shared" si="38"/>
        <v>0</v>
      </c>
      <c r="AV22" s="40">
        <f t="shared" si="38"/>
        <v>0</v>
      </c>
      <c r="AW22" s="40">
        <f t="shared" si="38"/>
        <v>0</v>
      </c>
      <c r="AX22" s="40">
        <f t="shared" si="38"/>
        <v>0</v>
      </c>
      <c r="AY22" s="40">
        <f t="shared" si="38"/>
        <v>0</v>
      </c>
      <c r="AZ22" s="40">
        <f t="shared" si="38"/>
        <v>0</v>
      </c>
      <c r="BA22" s="40">
        <f t="shared" si="38"/>
        <v>0</v>
      </c>
      <c r="BB22" s="40">
        <f t="shared" si="38"/>
        <v>0</v>
      </c>
      <c r="BC22" s="40">
        <f t="shared" si="38"/>
        <v>0</v>
      </c>
      <c r="BD22" s="40">
        <f t="shared" si="38"/>
        <v>0</v>
      </c>
      <c r="BE22" s="40">
        <f t="shared" si="38"/>
        <v>0</v>
      </c>
      <c r="BF22" s="40">
        <f t="shared" si="38"/>
        <v>0</v>
      </c>
      <c r="BG22" s="40">
        <f t="shared" si="38"/>
        <v>0</v>
      </c>
      <c r="BH22" s="40">
        <f t="shared" si="38"/>
        <v>0</v>
      </c>
      <c r="BI22" s="40">
        <f t="shared" si="38"/>
        <v>0</v>
      </c>
      <c r="BJ22" s="40">
        <f t="shared" si="38"/>
        <v>0</v>
      </c>
      <c r="BK22" s="40">
        <f t="shared" si="38"/>
        <v>0</v>
      </c>
      <c r="BL22" s="40">
        <f t="shared" si="38"/>
        <v>0</v>
      </c>
      <c r="BM22" s="40">
        <f t="shared" si="38"/>
        <v>0</v>
      </c>
      <c r="BO22" s="19" t="s">
        <v>67</v>
      </c>
    </row>
    <row r="23" spans="2:68" x14ac:dyDescent="0.25">
      <c r="BO23" s="19" t="s">
        <v>67</v>
      </c>
    </row>
    <row r="24" spans="2:68" x14ac:dyDescent="0.25">
      <c r="B24" s="4" t="s">
        <v>7</v>
      </c>
      <c r="C24" s="2" t="str">
        <f>VLOOKUP(C30,'Tabelas SN'!$E$2:$H$7,4,TRUE)</f>
        <v>1a Faixa</v>
      </c>
      <c r="D24" s="2" t="str">
        <f>VLOOKUP(D30,'Tabelas SN'!$E$2:$H$7,4,TRUE)</f>
        <v>1a Faixa</v>
      </c>
      <c r="E24" s="2" t="str">
        <f>VLOOKUP(E30,'Tabelas SN'!$E$2:$H$7,4,TRUE)</f>
        <v>1a Faixa</v>
      </c>
      <c r="F24" s="2" t="str">
        <f>VLOOKUP(F30,'Tabelas SN'!$E$2:$H$7,4,TRUE)</f>
        <v>1a Faixa</v>
      </c>
      <c r="G24" s="2" t="str">
        <f>VLOOKUP(G30,'Tabelas SN'!$E$2:$H$7,4,TRUE)</f>
        <v>1a Faixa</v>
      </c>
      <c r="H24" s="2" t="str">
        <f>VLOOKUP(H30,'Tabelas SN'!$E$2:$H$7,4,TRUE)</f>
        <v>1a Faixa</v>
      </c>
      <c r="I24" s="2" t="str">
        <f>VLOOKUP(I30,'Tabelas SN'!$E$2:$H$7,4,TRUE)</f>
        <v>1a Faixa</v>
      </c>
      <c r="J24" s="2" t="str">
        <f>VLOOKUP(J30,'Tabelas SN'!$E$2:$H$7,4,TRUE)</f>
        <v>1a Faixa</v>
      </c>
      <c r="K24" s="2" t="str">
        <f>VLOOKUP(K30,'Tabelas SN'!$E$2:$H$7,4,TRUE)</f>
        <v>1a Faixa</v>
      </c>
      <c r="L24" s="2" t="str">
        <f>VLOOKUP(L30,'Tabelas SN'!$E$2:$H$7,4,TRUE)</f>
        <v>1a Faixa</v>
      </c>
      <c r="M24" s="2" t="str">
        <f>VLOOKUP(M30,'Tabelas SN'!$E$2:$H$7,4,TRUE)</f>
        <v>1a Faixa</v>
      </c>
      <c r="N24" s="2" t="str">
        <f>VLOOKUP(N30,'Tabelas SN'!$E$2:$H$7,4,TRUE)</f>
        <v>1a Faixa</v>
      </c>
      <c r="O24" s="2" t="str">
        <f>VLOOKUP(O30,'Tabelas SN'!$E$2:$H$7,4,TRUE)</f>
        <v>1a Faixa</v>
      </c>
      <c r="P24" s="2" t="str">
        <f>VLOOKUP(P30,'Tabelas SN'!$E$2:$H$7,4,TRUE)</f>
        <v>1a Faixa</v>
      </c>
      <c r="Q24" s="2" t="str">
        <f>VLOOKUP(Q30,'Tabelas SN'!$E$2:$H$7,4,TRUE)</f>
        <v>1a Faixa</v>
      </c>
      <c r="R24" s="2" t="str">
        <f>VLOOKUP(R30,'Tabelas SN'!$E$2:$H$7,4,TRUE)</f>
        <v>1a Faixa</v>
      </c>
      <c r="S24" s="2" t="str">
        <f>VLOOKUP(S30,'Tabelas SN'!$E$2:$H$7,4,TRUE)</f>
        <v>1a Faixa</v>
      </c>
      <c r="T24" s="2" t="str">
        <f>VLOOKUP(T30,'Tabelas SN'!$E$2:$H$7,4,TRUE)</f>
        <v>1a Faixa</v>
      </c>
      <c r="U24" s="2" t="str">
        <f>VLOOKUP(U30,'Tabelas SN'!$E$2:$H$7,4,TRUE)</f>
        <v>1a Faixa</v>
      </c>
      <c r="V24" s="2" t="str">
        <f>VLOOKUP(V30,'Tabelas SN'!$E$2:$H$7,4,TRUE)</f>
        <v>1a Faixa</v>
      </c>
      <c r="W24" s="2" t="str">
        <f>VLOOKUP(W30,'Tabelas SN'!$E$2:$H$7,4,TRUE)</f>
        <v>1a Faixa</v>
      </c>
      <c r="X24" s="2" t="str">
        <f>VLOOKUP(X30,'Tabelas SN'!$E$2:$H$7,4,TRUE)</f>
        <v>1a Faixa</v>
      </c>
      <c r="Y24" s="2" t="str">
        <f>VLOOKUP(Y30,'Tabelas SN'!$E$2:$H$7,4,TRUE)</f>
        <v>1a Faixa</v>
      </c>
      <c r="Z24" s="2" t="str">
        <f>VLOOKUP(Z30,'Tabelas SN'!$E$2:$H$7,4,TRUE)</f>
        <v>1a Faixa</v>
      </c>
      <c r="AA24" s="2" t="str">
        <f>VLOOKUP(AA30,'Tabelas SN'!$E$2:$H$7,4,TRUE)</f>
        <v>1a Faixa</v>
      </c>
      <c r="AB24" s="2" t="str">
        <f>VLOOKUP(AB30,'Tabelas SN'!$E$2:$H$7,4,TRUE)</f>
        <v>1a Faixa</v>
      </c>
      <c r="AC24" s="2" t="str">
        <f>VLOOKUP(AC30,'Tabelas SN'!$E$2:$H$7,4,TRUE)</f>
        <v>1a Faixa</v>
      </c>
      <c r="AD24" s="2" t="str">
        <f>VLOOKUP(AD30,'Tabelas SN'!$E$2:$H$7,4,TRUE)</f>
        <v>1a Faixa</v>
      </c>
      <c r="AE24" s="2" t="str">
        <f>VLOOKUP(AE30,'Tabelas SN'!$E$2:$H$7,4,TRUE)</f>
        <v>1a Faixa</v>
      </c>
      <c r="AF24" s="2" t="str">
        <f>VLOOKUP(AF30,'Tabelas SN'!$E$2:$H$7,4,TRUE)</f>
        <v>1a Faixa</v>
      </c>
      <c r="AG24" s="2" t="str">
        <f>VLOOKUP(AG30,'Tabelas SN'!$E$2:$H$7,4,TRUE)</f>
        <v>1a Faixa</v>
      </c>
      <c r="AH24" s="2" t="str">
        <f>VLOOKUP(AH30,'Tabelas SN'!$E$2:$H$7,4,TRUE)</f>
        <v>1a Faixa</v>
      </c>
      <c r="AI24" s="2" t="str">
        <f>VLOOKUP(AI30,'Tabelas SN'!$E$2:$H$7,4,TRUE)</f>
        <v>1a Faixa</v>
      </c>
      <c r="AJ24" s="2" t="str">
        <f>VLOOKUP(AJ30,'Tabelas SN'!$E$2:$H$7,4,TRUE)</f>
        <v>1a Faixa</v>
      </c>
      <c r="AK24" s="2" t="str">
        <f>VLOOKUP(AK30,'Tabelas SN'!$E$2:$H$7,4,TRUE)</f>
        <v>1a Faixa</v>
      </c>
      <c r="AL24" s="2" t="str">
        <f>VLOOKUP(AL30,'Tabelas SN'!$E$2:$H$7,4,TRUE)</f>
        <v>1a Faixa</v>
      </c>
      <c r="AM24" s="2" t="str">
        <f>VLOOKUP(AM30,'Tabelas SN'!$E$2:$H$7,4,TRUE)</f>
        <v>1a Faixa</v>
      </c>
      <c r="AN24" s="2" t="str">
        <f>VLOOKUP(AN30,'Tabelas SN'!$E$2:$H$7,4,TRUE)</f>
        <v>1a Faixa</v>
      </c>
      <c r="AO24" s="2" t="str">
        <f>VLOOKUP(AO30,'Tabelas SN'!$E$2:$H$7,4,TRUE)</f>
        <v>1a Faixa</v>
      </c>
      <c r="AP24" s="2" t="str">
        <f>VLOOKUP(AP30,'Tabelas SN'!$E$2:$H$7,4,TRUE)</f>
        <v>1a Faixa</v>
      </c>
      <c r="AQ24" s="2" t="str">
        <f>VLOOKUP(AQ30,'Tabelas SN'!$E$2:$H$7,4,TRUE)</f>
        <v>1a Faixa</v>
      </c>
      <c r="AR24" s="2" t="str">
        <f>VLOOKUP(AR30,'Tabelas SN'!$E$2:$H$7,4,TRUE)</f>
        <v>1a Faixa</v>
      </c>
      <c r="AS24" s="2" t="str">
        <f>VLOOKUP(AS30,'Tabelas SN'!$E$2:$H$7,4,TRUE)</f>
        <v>1a Faixa</v>
      </c>
      <c r="AT24" s="2" t="str">
        <f>VLOOKUP(AT30,'Tabelas SN'!$E$2:$H$7,4,TRUE)</f>
        <v>1a Faixa</v>
      </c>
      <c r="AU24" s="2" t="str">
        <f>VLOOKUP(AU30,'Tabelas SN'!$E$2:$H$7,4,TRUE)</f>
        <v>1a Faixa</v>
      </c>
      <c r="AV24" s="2" t="str">
        <f>VLOOKUP(AV30,'Tabelas SN'!$E$2:$H$7,4,TRUE)</f>
        <v>1a Faixa</v>
      </c>
      <c r="AW24" s="2" t="str">
        <f>VLOOKUP(AW30,'Tabelas SN'!$E$2:$H$7,4,TRUE)</f>
        <v>1a Faixa</v>
      </c>
      <c r="AX24" s="2" t="str">
        <f>VLOOKUP(AX30,'Tabelas SN'!$E$2:$H$7,4,TRUE)</f>
        <v>1a Faixa</v>
      </c>
      <c r="AY24" s="2" t="str">
        <f>VLOOKUP(AY30,'Tabelas SN'!$E$2:$H$7,4,TRUE)</f>
        <v>1a Faixa</v>
      </c>
      <c r="AZ24" s="2" t="str">
        <f>VLOOKUP(AZ30,'Tabelas SN'!$E$2:$H$7,4,TRUE)</f>
        <v>1a Faixa</v>
      </c>
      <c r="BA24" s="2" t="str">
        <f>VLOOKUP(BA30,'Tabelas SN'!$E$2:$H$7,4,TRUE)</f>
        <v>1a Faixa</v>
      </c>
      <c r="BB24" s="2" t="str">
        <f>VLOOKUP(BB30,'Tabelas SN'!$E$2:$H$7,4,TRUE)</f>
        <v>1a Faixa</v>
      </c>
      <c r="BC24" s="2" t="str">
        <f>VLOOKUP(BC30,'Tabelas SN'!$E$2:$H$7,4,TRUE)</f>
        <v>1a Faixa</v>
      </c>
      <c r="BD24" s="2" t="str">
        <f>VLOOKUP(BD30,'Tabelas SN'!$E$2:$H$7,4,TRUE)</f>
        <v>1a Faixa</v>
      </c>
      <c r="BE24" s="2" t="str">
        <f>VLOOKUP(BE30,'Tabelas SN'!$E$2:$H$7,4,TRUE)</f>
        <v>1a Faixa</v>
      </c>
      <c r="BF24" s="2" t="str">
        <f>VLOOKUP(BF30,'Tabelas SN'!$E$2:$H$7,4,TRUE)</f>
        <v>1a Faixa</v>
      </c>
      <c r="BG24" s="2" t="str">
        <f>VLOOKUP(BG30,'Tabelas SN'!$E$2:$H$7,4,TRUE)</f>
        <v>1a Faixa</v>
      </c>
      <c r="BH24" s="2" t="str">
        <f>VLOOKUP(BH30,'Tabelas SN'!$E$2:$H$7,4,TRUE)</f>
        <v>1a Faixa</v>
      </c>
      <c r="BI24" s="2" t="str">
        <f>VLOOKUP(BI30,'Tabelas SN'!$E$2:$H$7,4,TRUE)</f>
        <v>1a Faixa</v>
      </c>
      <c r="BJ24" s="2" t="str">
        <f>VLOOKUP(BJ30,'Tabelas SN'!$E$2:$H$7,4,TRUE)</f>
        <v>1a Faixa</v>
      </c>
      <c r="BK24" s="2" t="str">
        <f>VLOOKUP(BK30,'Tabelas SN'!$E$2:$H$7,4,TRUE)</f>
        <v>1a Faixa</v>
      </c>
      <c r="BL24" s="2" t="str">
        <f>VLOOKUP(BL30,'Tabelas SN'!$E$2:$H$7,4,TRUE)</f>
        <v>1a Faixa</v>
      </c>
      <c r="BM24" s="2" t="str">
        <f>VLOOKUP(BM30,'Tabelas SN'!$E$2:$H$7,4,TRUE)</f>
        <v>1a Faixa</v>
      </c>
      <c r="BO24" s="19" t="s">
        <v>67</v>
      </c>
    </row>
    <row r="25" spans="2:68" x14ac:dyDescent="0.25">
      <c r="B25" s="18"/>
      <c r="C25" s="19" t="str">
        <f t="shared" ref="C25:E25" si="43">IF(C6="","",IF(C6=SUM(C7,C8,C9,C10,C11,C12,C13,C14),"ok","erro"))</f>
        <v/>
      </c>
      <c r="D25" s="19" t="str">
        <f t="shared" si="43"/>
        <v/>
      </c>
      <c r="E25" s="19" t="str">
        <f t="shared" si="43"/>
        <v/>
      </c>
      <c r="F25" s="19" t="str">
        <f t="shared" ref="F25:L25" si="44">IF(F6="","",IF(F6=SUM(F7,F8,F9,F10,F11,F12,F13,F14),"ok","erro"))</f>
        <v/>
      </c>
      <c r="G25" s="19" t="str">
        <f t="shared" si="44"/>
        <v/>
      </c>
      <c r="H25" s="19" t="str">
        <f t="shared" si="44"/>
        <v/>
      </c>
      <c r="I25" s="19" t="str">
        <f t="shared" si="44"/>
        <v/>
      </c>
      <c r="J25" s="19" t="str">
        <f t="shared" si="44"/>
        <v/>
      </c>
      <c r="K25" s="19" t="str">
        <f t="shared" si="44"/>
        <v/>
      </c>
      <c r="L25" s="19" t="str">
        <f t="shared" si="44"/>
        <v/>
      </c>
      <c r="M25" s="19" t="str">
        <f t="shared" ref="M25:Z25" si="45">IF(M6="","",IF(M6=SUM(M7,M8,M9,M10,M11,M12,M13,M14),"ok","erro"))</f>
        <v/>
      </c>
      <c r="N25" s="19" t="str">
        <f t="shared" si="45"/>
        <v/>
      </c>
      <c r="O25" s="19" t="str">
        <f t="shared" si="45"/>
        <v/>
      </c>
      <c r="P25" s="19" t="str">
        <f t="shared" si="45"/>
        <v/>
      </c>
      <c r="Q25" s="19" t="str">
        <f t="shared" si="45"/>
        <v/>
      </c>
      <c r="R25" s="19" t="str">
        <f t="shared" si="45"/>
        <v/>
      </c>
      <c r="S25" s="19" t="str">
        <f t="shared" si="45"/>
        <v/>
      </c>
      <c r="T25" s="19" t="str">
        <f t="shared" si="45"/>
        <v/>
      </c>
      <c r="U25" s="19" t="str">
        <f t="shared" si="45"/>
        <v/>
      </c>
      <c r="V25" s="19" t="str">
        <f t="shared" si="45"/>
        <v/>
      </c>
      <c r="W25" s="19" t="str">
        <f t="shared" si="45"/>
        <v/>
      </c>
      <c r="X25" s="19" t="str">
        <f t="shared" si="45"/>
        <v/>
      </c>
      <c r="Y25" s="19" t="str">
        <f t="shared" si="45"/>
        <v/>
      </c>
      <c r="Z25" s="19" t="str">
        <f t="shared" si="45"/>
        <v/>
      </c>
      <c r="AA25" s="19" t="str">
        <f t="shared" ref="AA25:BA25" si="46">IF(AA6="","",IF(AA6=SUM(AA7,AA8,AA9,AA10,AA11,AA12,AA13,AA14),"ok","erro"))</f>
        <v/>
      </c>
      <c r="AB25" s="19" t="str">
        <f t="shared" si="46"/>
        <v/>
      </c>
      <c r="AC25" s="19" t="str">
        <f t="shared" si="46"/>
        <v/>
      </c>
      <c r="AD25" s="19" t="str">
        <f>IF(AD6="","",IF(AD6=SUM(AD7,AD8,AD9,AD10,AD11,AD12,AD13,AD14),"ok","erro"))</f>
        <v/>
      </c>
      <c r="AE25" s="19" t="str">
        <f t="shared" si="46"/>
        <v/>
      </c>
      <c r="AF25" s="19" t="str">
        <f t="shared" si="46"/>
        <v/>
      </c>
      <c r="AG25" s="19" t="str">
        <f t="shared" si="46"/>
        <v/>
      </c>
      <c r="AH25" s="19" t="str">
        <f t="shared" si="46"/>
        <v/>
      </c>
      <c r="AI25" s="19" t="str">
        <f t="shared" si="46"/>
        <v/>
      </c>
      <c r="AJ25" s="19" t="str">
        <f t="shared" si="46"/>
        <v/>
      </c>
      <c r="AK25" s="19" t="str">
        <f t="shared" si="46"/>
        <v/>
      </c>
      <c r="AL25" s="19" t="str">
        <f t="shared" si="46"/>
        <v/>
      </c>
      <c r="AM25" s="19" t="str">
        <f t="shared" si="46"/>
        <v/>
      </c>
      <c r="AN25" s="19" t="str">
        <f t="shared" si="46"/>
        <v/>
      </c>
      <c r="AO25" s="19" t="str">
        <f t="shared" si="46"/>
        <v/>
      </c>
      <c r="AP25" s="19" t="str">
        <f t="shared" ref="AP25" si="47">IF(AP6="","",IF(AP6=SUM(AP7,AP8,AP9,AP10,AP11,AP12,AP13,AP14),"ok","erro"))</f>
        <v/>
      </c>
      <c r="AQ25" s="19" t="str">
        <f t="shared" si="46"/>
        <v/>
      </c>
      <c r="AR25" s="19" t="str">
        <f t="shared" si="46"/>
        <v/>
      </c>
      <c r="AS25" s="19" t="str">
        <f t="shared" si="46"/>
        <v/>
      </c>
      <c r="AT25" s="19" t="str">
        <f t="shared" si="46"/>
        <v/>
      </c>
      <c r="AU25" s="19" t="str">
        <f t="shared" si="46"/>
        <v/>
      </c>
      <c r="AV25" s="19" t="str">
        <f t="shared" si="46"/>
        <v/>
      </c>
      <c r="AW25" s="19" t="str">
        <f t="shared" si="46"/>
        <v/>
      </c>
      <c r="AX25" s="19" t="str">
        <f t="shared" si="46"/>
        <v/>
      </c>
      <c r="AY25" s="19" t="str">
        <f t="shared" si="46"/>
        <v/>
      </c>
      <c r="AZ25" s="19" t="str">
        <f t="shared" si="46"/>
        <v/>
      </c>
      <c r="BA25" s="19" t="str">
        <f t="shared" si="46"/>
        <v/>
      </c>
      <c r="BB25" s="19" t="str">
        <f t="shared" ref="BB25:BM25" si="48">IF(BB6="","",IF(BB6=SUM(BB7,BB8,BB9,BB10,BB11,BB12,BB13,BB14),"ok","erro"))</f>
        <v>ok</v>
      </c>
      <c r="BC25" s="19" t="str">
        <f t="shared" si="48"/>
        <v>ok</v>
      </c>
      <c r="BD25" s="19" t="str">
        <f t="shared" si="48"/>
        <v>ok</v>
      </c>
      <c r="BE25" s="19" t="str">
        <f t="shared" si="48"/>
        <v>ok</v>
      </c>
      <c r="BF25" s="19" t="str">
        <f t="shared" si="48"/>
        <v>ok</v>
      </c>
      <c r="BG25" s="19" t="str">
        <f t="shared" si="48"/>
        <v>ok</v>
      </c>
      <c r="BH25" s="19" t="str">
        <f t="shared" si="48"/>
        <v>ok</v>
      </c>
      <c r="BI25" s="19" t="str">
        <f t="shared" si="48"/>
        <v>ok</v>
      </c>
      <c r="BJ25" s="19" t="str">
        <f t="shared" si="48"/>
        <v>ok</v>
      </c>
      <c r="BK25" s="19" t="str">
        <f t="shared" si="48"/>
        <v>ok</v>
      </c>
      <c r="BL25" s="19" t="str">
        <f t="shared" si="48"/>
        <v>ok</v>
      </c>
      <c r="BM25" s="19" t="str">
        <f t="shared" si="48"/>
        <v>ok</v>
      </c>
      <c r="BN25" s="19"/>
      <c r="BO25" s="19" t="s">
        <v>67</v>
      </c>
      <c r="BP25" s="19" t="str">
        <f>IF(BP6="","",IF(BP6=SUM(BP7,BP15,BP9,BP10,BP11,BP12,BP14),"ok","erro"))</f>
        <v/>
      </c>
    </row>
    <row r="26" spans="2:68" x14ac:dyDescent="0.25">
      <c r="B26" s="27" t="s">
        <v>71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O26" s="19" t="s">
        <v>67</v>
      </c>
    </row>
    <row r="27" spans="2:68" x14ac:dyDescent="0.25">
      <c r="B27" s="4" t="s">
        <v>68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9">
        <f>SUM(AP6:BA6)</f>
        <v>0</v>
      </c>
      <c r="BC27" s="49">
        <f>SUM(AQ6:BB6)</f>
        <v>0</v>
      </c>
      <c r="BD27" s="49">
        <f t="shared" ref="BD27:BM27" si="49">SUM(AR6:BC6)</f>
        <v>0</v>
      </c>
      <c r="BE27" s="49">
        <f t="shared" si="49"/>
        <v>0</v>
      </c>
      <c r="BF27" s="49">
        <f t="shared" si="49"/>
        <v>0</v>
      </c>
      <c r="BG27" s="49">
        <f t="shared" si="49"/>
        <v>0</v>
      </c>
      <c r="BH27" s="49">
        <f t="shared" si="49"/>
        <v>0</v>
      </c>
      <c r="BI27" s="49">
        <f t="shared" si="49"/>
        <v>0</v>
      </c>
      <c r="BJ27" s="49">
        <f t="shared" si="49"/>
        <v>0</v>
      </c>
      <c r="BK27" s="49">
        <f t="shared" si="49"/>
        <v>0</v>
      </c>
      <c r="BL27" s="49">
        <f t="shared" si="49"/>
        <v>0</v>
      </c>
      <c r="BM27" s="49">
        <f t="shared" si="49"/>
        <v>0</v>
      </c>
      <c r="BO27" s="19" t="s">
        <v>67</v>
      </c>
    </row>
    <row r="28" spans="2:68" x14ac:dyDescent="0.25">
      <c r="B28" s="4" t="s">
        <v>69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O28" s="19" t="s">
        <v>67</v>
      </c>
    </row>
    <row r="29" spans="2:68" x14ac:dyDescent="0.25">
      <c r="B29" s="4" t="s">
        <v>81</v>
      </c>
      <c r="C29">
        <f ca="1">IFERROR((SUM(OFFSET($B$6,,#REF!-#REF!,1,-#REF!+#REF!)) / (#REF!-#REF!) ) *12,0)</f>
        <v>0</v>
      </c>
      <c r="D29">
        <f ca="1">IFERROR((SUM(OFFSET($B$6,,#REF!-#REF!,1,-#REF!+#REF!)) / (#REF!-#REF!) ) *12,0)</f>
        <v>0</v>
      </c>
      <c r="E29">
        <f ca="1">IFERROR((SUM(OFFSET($B$6,,#REF!-#REF!,1,-#REF!+#REF!)) / (#REF!-#REF!) ) *12,0)</f>
        <v>0</v>
      </c>
      <c r="F29">
        <f ca="1">IFERROR((SUM(OFFSET($B$6,,#REF!-#REF!,1,-#REF!+#REF!)) / (#REF!-#REF!) ) *12,0)</f>
        <v>0</v>
      </c>
      <c r="G29">
        <f ca="1">IFERROR((SUM(OFFSET($B$6,,#REF!-#REF!,1,-#REF!+#REF!)) / (#REF!-#REF!) ) *12,0)</f>
        <v>0</v>
      </c>
      <c r="H29">
        <f ca="1">IFERROR((SUM(OFFSET($B$6,,#REF!-#REF!,1,-#REF!+#REF!)) / (#REF!-#REF!) ) *12,0)</f>
        <v>0</v>
      </c>
      <c r="I29">
        <f ca="1">IFERROR((SUM(OFFSET($B$6,,#REF!-#REF!,1,-#REF!+#REF!)) / (#REF!-#REF!) ) *12,0)</f>
        <v>0</v>
      </c>
      <c r="J29">
        <f ca="1">IFERROR((SUM(OFFSET($B$6,,#REF!-#REF!,1,-#REF!+#REF!)) / (#REF!-#REF!) ) *12,0)</f>
        <v>0</v>
      </c>
      <c r="K29">
        <f ca="1">IFERROR((SUM(OFFSET($B$6,,#REF!-#REF!,1,-#REF!+#REF!)) / (#REF!-#REF!) ) *12,0)</f>
        <v>0</v>
      </c>
      <c r="L29">
        <f ca="1">IFERROR((SUM(OFFSET($B$6,,#REF!-#REF!,1,-#REF!+#REF!)) / (#REF!-#REF!) ) *12,0)</f>
        <v>0</v>
      </c>
      <c r="M29">
        <f ca="1">IFERROR((SUM(OFFSET($B$6,,#REF!-#REF!,1,-#REF!+#REF!)) / (#REF!-#REF!) ) *12,0)</f>
        <v>0</v>
      </c>
      <c r="N29">
        <f ca="1">IFERROR((SUM(OFFSET($B$6,,#REF!-#REF!,1,-#REF!+#REF!)) / (#REF!-#REF!) ) *12,0)</f>
        <v>0</v>
      </c>
      <c r="O29">
        <f ca="1">IFERROR((SUM(OFFSET($B$6,,#REF!-#REF!,1,-#REF!+#REF!)) / (#REF!-#REF!) ) *12,0)</f>
        <v>0</v>
      </c>
      <c r="P29">
        <f ca="1">IFERROR((SUM(OFFSET($B$6,,#REF!-#REF!,1,-#REF!+#REF!)) / (#REF!-#REF!) ) *12,0)</f>
        <v>0</v>
      </c>
      <c r="Q29">
        <f ca="1">IFERROR((SUM(OFFSET($B$6,,#REF!-#REF!,1,-#REF!+#REF!)) / (#REF!-#REF!) ) *12,0)</f>
        <v>0</v>
      </c>
      <c r="R29">
        <f ca="1">IFERROR((SUM(OFFSET($B$6,,#REF!-#REF!,1,-#REF!+#REF!)) / (#REF!-#REF!) ) *12,0)</f>
        <v>0</v>
      </c>
      <c r="S29">
        <f ca="1">IFERROR((SUM(OFFSET($B$6,,#REF!-#REF!,1,-#REF!+#REF!)) / (#REF!-#REF!) ) *12,0)</f>
        <v>0</v>
      </c>
      <c r="T29">
        <f ca="1">IFERROR((SUM(OFFSET($B$6,,#REF!-#REF!,1,-#REF!+#REF!)) / (#REF!-#REF!) ) *12,0)</f>
        <v>0</v>
      </c>
      <c r="U29">
        <f ca="1">IFERROR((SUM(OFFSET($B$6,,#REF!-#REF!,1,-#REF!+#REF!)) / (#REF!-#REF!) ) *12,0)</f>
        <v>0</v>
      </c>
      <c r="V29">
        <f ca="1">IFERROR((SUM(OFFSET($B$6,,#REF!-#REF!,1,-#REF!+#REF!)) / (#REF!-#REF!) ) *12,0)</f>
        <v>0</v>
      </c>
      <c r="W29">
        <f ca="1">IFERROR((SUM(OFFSET($B$6,,#REF!-#REF!,1,-#REF!+#REF!)) / (#REF!-#REF!) ) *12,0)</f>
        <v>0</v>
      </c>
      <c r="X29">
        <f ca="1">IFERROR((SUM(OFFSET($B$6,,#REF!-#REF!,1,-#REF!+#REF!)) / (#REF!-#REF!) ) *12,0)</f>
        <v>0</v>
      </c>
      <c r="Y29">
        <f ca="1">IFERROR((SUM(OFFSET($B$6,,#REF!-#REF!,1,-#REF!+#REF!)) / (#REF!-#REF!) ) *12,0)</f>
        <v>0</v>
      </c>
      <c r="Z29">
        <f ca="1">IFERROR((SUM(OFFSET($B$6,,#REF!-#REF!,1,-#REF!+#REF!)) / (#REF!-#REF!) ) *12,0)</f>
        <v>0</v>
      </c>
      <c r="AA29">
        <f ca="1">IFERROR((SUM(OFFSET($B$6,,#REF!-#REF!,1,-#REF!+#REF!)) / (#REF!-#REF!) ) *12,0)</f>
        <v>0</v>
      </c>
      <c r="AB29">
        <f ca="1">IFERROR((SUM(OFFSET($B$6,,#REF!-#REF!,1,-#REF!+#REF!)) / (#REF!-#REF!) ) *12,0)</f>
        <v>0</v>
      </c>
      <c r="AC29">
        <f ca="1">IFERROR((SUM(OFFSET($B$6,,#REF!-#REF!,1,-#REF!+#REF!)) / (#REF!-#REF!) ) *12,0)</f>
        <v>0</v>
      </c>
      <c r="AD29">
        <f ca="1">IFERROR((SUM(OFFSET($B$6,,#REF!-#REF!,1,-#REF!+#REF!)) / (#REF!-#REF!) ) *12,0)</f>
        <v>0</v>
      </c>
      <c r="AE29">
        <f ca="1">IFERROR((SUM(OFFSET($B$6,,#REF!-#REF!,1,-#REF!+#REF!)) / (#REF!-#REF!) ) *12,0)</f>
        <v>0</v>
      </c>
      <c r="AF29">
        <f ca="1">IFERROR((SUM(OFFSET($B$6,,#REF!-#REF!,1,-#REF!+#REF!)) / (#REF!-#REF!) ) *12,0)</f>
        <v>0</v>
      </c>
      <c r="AG29">
        <f ca="1">IFERROR((SUM(OFFSET($B$6,,#REF!-#REF!,1,-#REF!+#REF!)) / (#REF!-#REF!) ) *12,0)</f>
        <v>0</v>
      </c>
      <c r="AH29">
        <f ca="1">IFERROR((SUM(OFFSET($B$6,,#REF!-#REF!,1,-#REF!+#REF!)) / (#REF!-#REF!) ) *12,0)</f>
        <v>0</v>
      </c>
      <c r="AI29">
        <f ca="1">IFERROR((SUM(OFFSET($B$6,,#REF!-#REF!,1,-#REF!+#REF!)) / (#REF!-#REF!) ) *12,0)</f>
        <v>0</v>
      </c>
      <c r="AJ29">
        <f ca="1">IFERROR((SUM(OFFSET($B$6,,#REF!-#REF!,1,-#REF!+#REF!)) / (#REF!-#REF!) ) *12,0)</f>
        <v>0</v>
      </c>
      <c r="AK29">
        <f ca="1">IFERROR((SUM(OFFSET($B$6,,#REF!-#REF!,1,-#REF!+#REF!)) / (#REF!-#REF!) ) *12,0)</f>
        <v>0</v>
      </c>
      <c r="AL29">
        <f ca="1">IFERROR((SUM(OFFSET($B$6,,#REF!-#REF!,1,-#REF!+#REF!)) / (#REF!-#REF!) ) *12,0)</f>
        <v>0</v>
      </c>
      <c r="AM29">
        <f ca="1">IFERROR((SUM(OFFSET($B$6,,#REF!-#REF!,1,-#REF!+#REF!)) / (#REF!-#REF!) ) *12,0)</f>
        <v>0</v>
      </c>
      <c r="AN29">
        <f ca="1">IFERROR((SUM(OFFSET($B$6,,#REF!-#REF!,1,-#REF!+#REF!)) / (#REF!-#REF!) ) *12,0)</f>
        <v>0</v>
      </c>
      <c r="AO29">
        <f ca="1">IFERROR((SUM(OFFSET($B$6,,#REF!-#REF!,1,-#REF!+#REF!)) / (#REF!-#REF!) ) *12,0)</f>
        <v>0</v>
      </c>
      <c r="AP29">
        <f ca="1">IFERROR((SUM(OFFSET($B$6,,#REF!-#REF!,1,-#REF!+#REF!)) / (#REF!-#REF!) ) *12,0)</f>
        <v>0</v>
      </c>
      <c r="AQ29">
        <f ca="1">IFERROR((SUM(OFFSET($B$6,,#REF!-#REF!,1,-#REF!+#REF!)) / (#REF!-#REF!) ) *12,0)</f>
        <v>0</v>
      </c>
      <c r="AR29">
        <f ca="1">IFERROR((SUM(OFFSET($B$6,,#REF!-#REF!,1,-#REF!+#REF!)) / (#REF!-#REF!) ) *12,0)</f>
        <v>0</v>
      </c>
      <c r="AS29">
        <f ca="1">IFERROR((SUM(OFFSET($B$6,,#REF!-#REF!,1,-#REF!+#REF!)) / (#REF!-#REF!) ) *12,0)</f>
        <v>0</v>
      </c>
      <c r="AT29">
        <f ca="1">IFERROR((SUM(OFFSET($B$6,,#REF!-#REF!,1,-#REF!+#REF!)) / (#REF!-#REF!) ) *12,0)</f>
        <v>0</v>
      </c>
      <c r="AU29">
        <f ca="1">IFERROR((SUM(OFFSET($B$6,,#REF!-#REF!,1,-#REF!+#REF!)) / (#REF!-#REF!) ) *12,0)</f>
        <v>0</v>
      </c>
      <c r="AV29">
        <f ca="1">IFERROR((SUM(OFFSET($B$6,,#REF!-#REF!,1,-#REF!+#REF!)) / (#REF!-#REF!) ) *12,0)</f>
        <v>0</v>
      </c>
      <c r="AW29">
        <f ca="1">IFERROR((SUM(OFFSET($B$6,,#REF!-#REF!,1,-#REF!+#REF!)) / (#REF!-#REF!) ) *12,0)</f>
        <v>0</v>
      </c>
      <c r="AX29">
        <f ca="1">IFERROR((SUM(OFFSET($B$6,,#REF!-#REF!,1,-#REF!+#REF!)) / (#REF!-#REF!) ) *12,0)</f>
        <v>0</v>
      </c>
      <c r="AY29">
        <f ca="1">IFERROR((SUM(OFFSET($B$6,,#REF!-#REF!,1,-#REF!+#REF!)) / (#REF!-#REF!) ) *12,0)</f>
        <v>0</v>
      </c>
      <c r="AZ29">
        <f ca="1">IFERROR((SUM(OFFSET($B$6,,#REF!-#REF!,1,-#REF!+#REF!)) / (#REF!-#REF!) ) *12,0)</f>
        <v>0</v>
      </c>
      <c r="BA29">
        <f ca="1">IFERROR((SUM(OFFSET($B$6,,#REF!-#REF!,1,-#REF!+#REF!)) / (#REF!-#REF!) ) *12,0)</f>
        <v>0</v>
      </c>
      <c r="BB29">
        <f ca="1">IFERROR((SUM(OFFSET($B$6,,#REF!-#REF!,1,-#REF!+#REF!)) / (#REF!-#REF!) ) *12,0)</f>
        <v>0</v>
      </c>
      <c r="BC29">
        <f ca="1">IFERROR((SUM(OFFSET($B$6,,#REF!-#REF!,1,-#REF!+#REF!)) / (#REF!-#REF!) ) *12,0)</f>
        <v>0</v>
      </c>
      <c r="BD29">
        <f ca="1">IFERROR((SUM(OFFSET($B$6,,#REF!-#REF!,1,-#REF!+#REF!)) / (#REF!-#REF!) ) *12,0)</f>
        <v>0</v>
      </c>
      <c r="BE29">
        <f ca="1">IFERROR((SUM(OFFSET($B$6,,#REF!-#REF!,1,-#REF!+#REF!)) / (#REF!-#REF!) ) *12,0)</f>
        <v>0</v>
      </c>
      <c r="BF29">
        <f ca="1">IFERROR((SUM(OFFSET($B$6,,#REF!-#REF!,1,-#REF!+#REF!)) / (#REF!-#REF!) ) *12,0)</f>
        <v>0</v>
      </c>
      <c r="BG29">
        <f ca="1">IFERROR((SUM(OFFSET($B$6,,#REF!-#REF!,1,-#REF!+#REF!)) / (#REF!-#REF!) ) *12,0)</f>
        <v>0</v>
      </c>
      <c r="BH29">
        <f ca="1">IFERROR((SUM(OFFSET($B$6,,#REF!-#REF!,1,-#REF!+#REF!)) / (#REF!-#REF!) ) *12,0)</f>
        <v>0</v>
      </c>
      <c r="BI29">
        <f ca="1">IFERROR((SUM(OFFSET($B$6,,#REF!-#REF!,1,-#REF!+#REF!)) / (#REF!-#REF!) ) *12,0)</f>
        <v>0</v>
      </c>
      <c r="BJ29">
        <f ca="1">IFERROR((SUM(OFFSET($B$6,,#REF!-#REF!,1,-#REF!+#REF!)) / (#REF!-#REF!) ) *12,0)</f>
        <v>0</v>
      </c>
      <c r="BK29">
        <f ca="1">IFERROR((SUM(OFFSET($B$6,,#REF!-#REF!,1,-#REF!+#REF!)) / (#REF!-#REF!) ) *12,0)</f>
        <v>0</v>
      </c>
      <c r="BL29">
        <f ca="1">IFERROR((SUM(OFFSET($B$6,,#REF!-#REF!,1,-#REF!+#REF!)) / (#REF!-#REF!) ) *12,0)</f>
        <v>0</v>
      </c>
      <c r="BM29">
        <f ca="1">IFERROR((SUM(OFFSET($B$6,,#REF!-#REF!,1,-#REF!+#REF!)) / (#REF!-#REF!) ) *12,0)</f>
        <v>0</v>
      </c>
      <c r="BO29" s="19" t="s">
        <v>67</v>
      </c>
    </row>
    <row r="30" spans="2:68" x14ac:dyDescent="0.25">
      <c r="B30" s="36" t="s">
        <v>70</v>
      </c>
      <c r="C30" s="3">
        <f t="shared" ref="C30:E30" si="50">IFERROR(MAX(C27:C28),0)</f>
        <v>0</v>
      </c>
      <c r="D30" s="3">
        <f t="shared" si="50"/>
        <v>0</v>
      </c>
      <c r="E30" s="3">
        <f t="shared" si="50"/>
        <v>0</v>
      </c>
      <c r="F30" s="3">
        <f t="shared" ref="F30:L30" si="51">IFERROR(MAX(F27:F28),0)</f>
        <v>0</v>
      </c>
      <c r="G30" s="3">
        <f t="shared" si="51"/>
        <v>0</v>
      </c>
      <c r="H30" s="3">
        <f t="shared" si="51"/>
        <v>0</v>
      </c>
      <c r="I30" s="3">
        <f t="shared" si="51"/>
        <v>0</v>
      </c>
      <c r="J30" s="3">
        <f t="shared" si="51"/>
        <v>0</v>
      </c>
      <c r="K30" s="3">
        <f t="shared" si="51"/>
        <v>0</v>
      </c>
      <c r="L30" s="3">
        <f t="shared" si="51"/>
        <v>0</v>
      </c>
      <c r="M30" s="3">
        <f t="shared" ref="M30:BB30" si="52">IFERROR(MAX(M27:M28),0)</f>
        <v>0</v>
      </c>
      <c r="N30" s="3">
        <f t="shared" si="52"/>
        <v>0</v>
      </c>
      <c r="O30" s="3">
        <f t="shared" si="52"/>
        <v>0</v>
      </c>
      <c r="P30" s="3">
        <f t="shared" si="52"/>
        <v>0</v>
      </c>
      <c r="Q30" s="3">
        <f t="shared" si="52"/>
        <v>0</v>
      </c>
      <c r="R30" s="3">
        <f t="shared" si="52"/>
        <v>0</v>
      </c>
      <c r="S30" s="3">
        <f t="shared" si="52"/>
        <v>0</v>
      </c>
      <c r="T30" s="3">
        <f t="shared" si="52"/>
        <v>0</v>
      </c>
      <c r="U30" s="3">
        <f t="shared" si="52"/>
        <v>0</v>
      </c>
      <c r="V30" s="3">
        <f t="shared" si="52"/>
        <v>0</v>
      </c>
      <c r="W30" s="3">
        <f t="shared" si="52"/>
        <v>0</v>
      </c>
      <c r="X30" s="3">
        <f t="shared" si="52"/>
        <v>0</v>
      </c>
      <c r="Y30" s="3">
        <f t="shared" si="52"/>
        <v>0</v>
      </c>
      <c r="Z30" s="3">
        <f t="shared" si="52"/>
        <v>0</v>
      </c>
      <c r="AA30" s="3">
        <f t="shared" si="52"/>
        <v>0</v>
      </c>
      <c r="AB30" s="3">
        <f t="shared" si="52"/>
        <v>0</v>
      </c>
      <c r="AC30" s="3">
        <f t="shared" si="52"/>
        <v>0</v>
      </c>
      <c r="AD30" s="3">
        <f t="shared" si="52"/>
        <v>0</v>
      </c>
      <c r="AE30" s="3">
        <f t="shared" si="52"/>
        <v>0</v>
      </c>
      <c r="AF30" s="3">
        <f t="shared" si="52"/>
        <v>0</v>
      </c>
      <c r="AG30" s="3">
        <f t="shared" si="52"/>
        <v>0</v>
      </c>
      <c r="AH30" s="3">
        <f t="shared" si="52"/>
        <v>0</v>
      </c>
      <c r="AI30" s="3">
        <f t="shared" si="52"/>
        <v>0</v>
      </c>
      <c r="AJ30" s="3">
        <f t="shared" si="52"/>
        <v>0</v>
      </c>
      <c r="AK30" s="3">
        <f t="shared" si="52"/>
        <v>0</v>
      </c>
      <c r="AL30" s="3">
        <f t="shared" si="52"/>
        <v>0</v>
      </c>
      <c r="AM30" s="3">
        <f t="shared" si="52"/>
        <v>0</v>
      </c>
      <c r="AN30" s="3">
        <f t="shared" si="52"/>
        <v>0</v>
      </c>
      <c r="AO30" s="3">
        <f t="shared" si="52"/>
        <v>0</v>
      </c>
      <c r="AP30" s="3">
        <f t="shared" ref="AP30" si="53">IFERROR(MAX(AP27:AP28),0)</f>
        <v>0</v>
      </c>
      <c r="AQ30" s="3">
        <f t="shared" si="52"/>
        <v>0</v>
      </c>
      <c r="AR30" s="3">
        <f t="shared" si="52"/>
        <v>0</v>
      </c>
      <c r="AS30" s="3">
        <f t="shared" si="52"/>
        <v>0</v>
      </c>
      <c r="AT30" s="3">
        <f t="shared" si="52"/>
        <v>0</v>
      </c>
      <c r="AU30" s="3">
        <f t="shared" si="52"/>
        <v>0</v>
      </c>
      <c r="AV30" s="3">
        <f t="shared" si="52"/>
        <v>0</v>
      </c>
      <c r="AW30" s="3">
        <f t="shared" si="52"/>
        <v>0</v>
      </c>
      <c r="AX30" s="3">
        <f t="shared" si="52"/>
        <v>0</v>
      </c>
      <c r="AY30" s="3">
        <f t="shared" si="52"/>
        <v>0</v>
      </c>
      <c r="AZ30" s="3">
        <f t="shared" si="52"/>
        <v>0</v>
      </c>
      <c r="BA30" s="3">
        <f t="shared" si="52"/>
        <v>0</v>
      </c>
      <c r="BB30" s="3">
        <f t="shared" si="52"/>
        <v>0</v>
      </c>
      <c r="BC30" s="3">
        <f t="shared" ref="BC30:BM30" si="54">IFERROR(MAX(BC27:BC28),0)</f>
        <v>0</v>
      </c>
      <c r="BD30" s="3">
        <f t="shared" si="54"/>
        <v>0</v>
      </c>
      <c r="BE30" s="3">
        <f t="shared" si="54"/>
        <v>0</v>
      </c>
      <c r="BF30" s="3">
        <f t="shared" si="54"/>
        <v>0</v>
      </c>
      <c r="BG30" s="3">
        <f t="shared" si="54"/>
        <v>0</v>
      </c>
      <c r="BH30" s="3">
        <f t="shared" si="54"/>
        <v>0</v>
      </c>
      <c r="BI30" s="3">
        <f t="shared" si="54"/>
        <v>0</v>
      </c>
      <c r="BJ30" s="3">
        <f t="shared" si="54"/>
        <v>0</v>
      </c>
      <c r="BK30" s="3">
        <f t="shared" si="54"/>
        <v>0</v>
      </c>
      <c r="BL30" s="3">
        <f t="shared" si="54"/>
        <v>0</v>
      </c>
      <c r="BM30" s="3">
        <f t="shared" si="54"/>
        <v>0</v>
      </c>
      <c r="BO30" s="19" t="s">
        <v>67</v>
      </c>
    </row>
    <row r="31" spans="2:68" x14ac:dyDescent="0.25">
      <c r="B31" s="27" t="s">
        <v>72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O31" s="19" t="s">
        <v>67</v>
      </c>
    </row>
    <row r="32" spans="2:68" x14ac:dyDescent="0.25">
      <c r="B32" s="36" t="s">
        <v>8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50">
        <f>BB37</f>
        <v>0</v>
      </c>
      <c r="BC32" s="50">
        <f t="shared" ref="BC32:BM32" si="55">BC37</f>
        <v>0</v>
      </c>
      <c r="BD32" s="50">
        <f t="shared" si="55"/>
        <v>0</v>
      </c>
      <c r="BE32" s="50">
        <f t="shared" si="55"/>
        <v>0</v>
      </c>
      <c r="BF32" s="50">
        <f t="shared" si="55"/>
        <v>0</v>
      </c>
      <c r="BG32" s="50">
        <f t="shared" si="55"/>
        <v>0</v>
      </c>
      <c r="BH32" s="50">
        <f t="shared" si="55"/>
        <v>0</v>
      </c>
      <c r="BI32" s="50">
        <f t="shared" si="55"/>
        <v>0</v>
      </c>
      <c r="BJ32" s="50">
        <f t="shared" si="55"/>
        <v>0</v>
      </c>
      <c r="BK32" s="50">
        <f t="shared" si="55"/>
        <v>0</v>
      </c>
      <c r="BL32" s="50">
        <f t="shared" si="55"/>
        <v>0</v>
      </c>
      <c r="BM32" s="50">
        <f t="shared" si="55"/>
        <v>0</v>
      </c>
      <c r="BO32" s="19" t="s">
        <v>67</v>
      </c>
    </row>
    <row r="33" spans="1:67" x14ac:dyDescent="0.25">
      <c r="B33" s="18" t="s">
        <v>65</v>
      </c>
      <c r="C33" s="20" t="str">
        <f t="shared" ref="C33:E33" si="56">IFERROR(C32/C6,"-")</f>
        <v>-</v>
      </c>
      <c r="D33" s="20" t="str">
        <f t="shared" si="56"/>
        <v>-</v>
      </c>
      <c r="E33" s="20" t="str">
        <f t="shared" si="56"/>
        <v>-</v>
      </c>
      <c r="F33" s="20" t="str">
        <f t="shared" ref="F33:L33" si="57">IFERROR(F32/F6,"-")</f>
        <v>-</v>
      </c>
      <c r="G33" s="20" t="str">
        <f t="shared" si="57"/>
        <v>-</v>
      </c>
      <c r="H33" s="20" t="str">
        <f t="shared" si="57"/>
        <v>-</v>
      </c>
      <c r="I33" s="20" t="str">
        <f t="shared" si="57"/>
        <v>-</v>
      </c>
      <c r="J33" s="20" t="str">
        <f t="shared" si="57"/>
        <v>-</v>
      </c>
      <c r="K33" s="20" t="str">
        <f t="shared" si="57"/>
        <v>-</v>
      </c>
      <c r="L33" s="20" t="str">
        <f t="shared" si="57"/>
        <v>-</v>
      </c>
      <c r="M33" s="20" t="str">
        <f t="shared" ref="M33:Z33" si="58">IFERROR(M32/M6,"-")</f>
        <v>-</v>
      </c>
      <c r="N33" s="20" t="str">
        <f t="shared" si="58"/>
        <v>-</v>
      </c>
      <c r="O33" s="20" t="str">
        <f t="shared" si="58"/>
        <v>-</v>
      </c>
      <c r="P33" s="20" t="str">
        <f t="shared" si="58"/>
        <v>-</v>
      </c>
      <c r="Q33" s="20" t="str">
        <f t="shared" si="58"/>
        <v>-</v>
      </c>
      <c r="R33" s="20" t="str">
        <f t="shared" si="58"/>
        <v>-</v>
      </c>
      <c r="S33" s="20" t="str">
        <f t="shared" si="58"/>
        <v>-</v>
      </c>
      <c r="T33" s="20" t="str">
        <f t="shared" si="58"/>
        <v>-</v>
      </c>
      <c r="U33" s="20" t="str">
        <f t="shared" si="58"/>
        <v>-</v>
      </c>
      <c r="V33" s="20" t="str">
        <f t="shared" si="58"/>
        <v>-</v>
      </c>
      <c r="W33" s="20" t="str">
        <f t="shared" si="58"/>
        <v>-</v>
      </c>
      <c r="X33" s="20" t="str">
        <f t="shared" si="58"/>
        <v>-</v>
      </c>
      <c r="Y33" s="20" t="str">
        <f t="shared" si="58"/>
        <v>-</v>
      </c>
      <c r="Z33" s="20" t="str">
        <f t="shared" si="58"/>
        <v>-</v>
      </c>
      <c r="AA33" s="20" t="str">
        <f t="shared" ref="AA33:BB33" si="59">IFERROR(AA32/AA6,"-")</f>
        <v>-</v>
      </c>
      <c r="AB33" s="20" t="str">
        <f t="shared" si="59"/>
        <v>-</v>
      </c>
      <c r="AC33" s="20" t="str">
        <f t="shared" si="59"/>
        <v>-</v>
      </c>
      <c r="AD33" s="20" t="str">
        <f t="shared" si="59"/>
        <v>-</v>
      </c>
      <c r="AE33" s="20" t="str">
        <f t="shared" si="59"/>
        <v>-</v>
      </c>
      <c r="AF33" s="20" t="str">
        <f t="shared" si="59"/>
        <v>-</v>
      </c>
      <c r="AG33" s="20" t="str">
        <f t="shared" si="59"/>
        <v>-</v>
      </c>
      <c r="AH33" s="20" t="str">
        <f t="shared" si="59"/>
        <v>-</v>
      </c>
      <c r="AI33" s="20" t="str">
        <f t="shared" si="59"/>
        <v>-</v>
      </c>
      <c r="AJ33" s="20" t="str">
        <f t="shared" si="59"/>
        <v>-</v>
      </c>
      <c r="AK33" s="20" t="str">
        <f t="shared" si="59"/>
        <v>-</v>
      </c>
      <c r="AL33" s="20" t="str">
        <f t="shared" si="59"/>
        <v>-</v>
      </c>
      <c r="AM33" s="20" t="str">
        <f t="shared" si="59"/>
        <v>-</v>
      </c>
      <c r="AN33" s="20" t="str">
        <f t="shared" si="59"/>
        <v>-</v>
      </c>
      <c r="AO33" s="20" t="str">
        <f t="shared" si="59"/>
        <v>-</v>
      </c>
      <c r="AP33" s="20" t="str">
        <f t="shared" si="59"/>
        <v>-</v>
      </c>
      <c r="AQ33" s="20" t="str">
        <f t="shared" si="59"/>
        <v>-</v>
      </c>
      <c r="AR33" s="20" t="str">
        <f t="shared" si="59"/>
        <v>-</v>
      </c>
      <c r="AS33" s="20" t="str">
        <f t="shared" si="59"/>
        <v>-</v>
      </c>
      <c r="AT33" s="20" t="str">
        <f t="shared" si="59"/>
        <v>-</v>
      </c>
      <c r="AU33" s="20" t="str">
        <f t="shared" si="59"/>
        <v>-</v>
      </c>
      <c r="AV33" s="20" t="str">
        <f t="shared" si="59"/>
        <v>-</v>
      </c>
      <c r="AW33" s="20" t="str">
        <f t="shared" si="59"/>
        <v>-</v>
      </c>
      <c r="AX33" s="20" t="str">
        <f t="shared" si="59"/>
        <v>-</v>
      </c>
      <c r="AY33" s="20" t="str">
        <f t="shared" si="59"/>
        <v>-</v>
      </c>
      <c r="AZ33" s="20" t="str">
        <f t="shared" si="59"/>
        <v>-</v>
      </c>
      <c r="BA33" s="20" t="str">
        <f t="shared" si="59"/>
        <v>-</v>
      </c>
      <c r="BB33" s="20" t="str">
        <f t="shared" si="59"/>
        <v>-</v>
      </c>
      <c r="BC33" s="20" t="str">
        <f t="shared" ref="BC33:BM33" si="60">IFERROR(BC32/BC6,"-")</f>
        <v>-</v>
      </c>
      <c r="BD33" s="20" t="str">
        <f t="shared" si="60"/>
        <v>-</v>
      </c>
      <c r="BE33" s="20" t="str">
        <f t="shared" si="60"/>
        <v>-</v>
      </c>
      <c r="BF33" s="20" t="str">
        <f t="shared" si="60"/>
        <v>-</v>
      </c>
      <c r="BG33" s="20" t="str">
        <f t="shared" si="60"/>
        <v>-</v>
      </c>
      <c r="BH33" s="20" t="str">
        <f t="shared" si="60"/>
        <v>-</v>
      </c>
      <c r="BI33" s="20" t="str">
        <f t="shared" si="60"/>
        <v>-</v>
      </c>
      <c r="BJ33" s="20" t="str">
        <f t="shared" si="60"/>
        <v>-</v>
      </c>
      <c r="BK33" s="20" t="str">
        <f t="shared" si="60"/>
        <v>-</v>
      </c>
      <c r="BL33" s="20" t="str">
        <f t="shared" si="60"/>
        <v>-</v>
      </c>
      <c r="BM33" s="20" t="str">
        <f t="shared" si="60"/>
        <v>-</v>
      </c>
      <c r="BO33" s="19" t="s">
        <v>67</v>
      </c>
    </row>
    <row r="34" spans="1:67" x14ac:dyDescent="0.25">
      <c r="B34" s="18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O34" s="19" t="s">
        <v>67</v>
      </c>
    </row>
    <row r="35" spans="1:67" x14ac:dyDescent="0.25">
      <c r="A35" s="39" t="s">
        <v>67</v>
      </c>
      <c r="B35" s="39" t="s">
        <v>80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O35" s="19" t="s">
        <v>67</v>
      </c>
    </row>
    <row r="36" spans="1:67" outlineLevel="1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O36" s="19" t="s">
        <v>67</v>
      </c>
    </row>
    <row r="37" spans="1:67" outlineLevel="1" x14ac:dyDescent="0.25">
      <c r="B37" s="27" t="s">
        <v>74</v>
      </c>
      <c r="C37" s="34">
        <f>SUM(C43,C41,C45,C52,C47,C53,)</f>
        <v>0</v>
      </c>
      <c r="D37" s="34">
        <f t="shared" ref="D37:BM37" si="61">SUM(D43,D41,D45,D52,D47,D53,)</f>
        <v>0</v>
      </c>
      <c r="E37" s="34">
        <f t="shared" si="61"/>
        <v>0</v>
      </c>
      <c r="F37" s="34">
        <f t="shared" si="61"/>
        <v>0</v>
      </c>
      <c r="G37" s="34">
        <f t="shared" si="61"/>
        <v>0</v>
      </c>
      <c r="H37" s="34">
        <f t="shared" si="61"/>
        <v>0</v>
      </c>
      <c r="I37" s="34">
        <f t="shared" si="61"/>
        <v>0</v>
      </c>
      <c r="J37" s="34">
        <f t="shared" si="61"/>
        <v>0</v>
      </c>
      <c r="K37" s="34">
        <f t="shared" si="61"/>
        <v>0</v>
      </c>
      <c r="L37" s="34">
        <f t="shared" si="61"/>
        <v>0</v>
      </c>
      <c r="M37" s="34">
        <f t="shared" si="61"/>
        <v>0</v>
      </c>
      <c r="N37" s="34">
        <f t="shared" si="61"/>
        <v>0</v>
      </c>
      <c r="O37" s="34">
        <f t="shared" si="61"/>
        <v>0</v>
      </c>
      <c r="P37" s="34">
        <f t="shared" si="61"/>
        <v>0</v>
      </c>
      <c r="Q37" s="34">
        <f t="shared" si="61"/>
        <v>0</v>
      </c>
      <c r="R37" s="34">
        <f t="shared" si="61"/>
        <v>0</v>
      </c>
      <c r="S37" s="34">
        <f t="shared" si="61"/>
        <v>0</v>
      </c>
      <c r="T37" s="34">
        <f t="shared" si="61"/>
        <v>0</v>
      </c>
      <c r="U37" s="34">
        <f t="shared" si="61"/>
        <v>0</v>
      </c>
      <c r="V37" s="34">
        <f t="shared" si="61"/>
        <v>0</v>
      </c>
      <c r="W37" s="34">
        <f t="shared" si="61"/>
        <v>0</v>
      </c>
      <c r="X37" s="34">
        <f t="shared" si="61"/>
        <v>0</v>
      </c>
      <c r="Y37" s="34">
        <f t="shared" si="61"/>
        <v>0</v>
      </c>
      <c r="Z37" s="34">
        <f t="shared" si="61"/>
        <v>0</v>
      </c>
      <c r="AA37" s="34">
        <f t="shared" si="61"/>
        <v>0</v>
      </c>
      <c r="AB37" s="34">
        <f t="shared" si="61"/>
        <v>0</v>
      </c>
      <c r="AC37" s="34">
        <f t="shared" si="61"/>
        <v>0</v>
      </c>
      <c r="AD37" s="34">
        <f t="shared" si="61"/>
        <v>0</v>
      </c>
      <c r="AE37" s="34">
        <f t="shared" si="61"/>
        <v>0</v>
      </c>
      <c r="AF37" s="34">
        <f t="shared" si="61"/>
        <v>0</v>
      </c>
      <c r="AG37" s="34">
        <f t="shared" si="61"/>
        <v>0</v>
      </c>
      <c r="AH37" s="34">
        <f t="shared" si="61"/>
        <v>0</v>
      </c>
      <c r="AI37" s="34">
        <f t="shared" si="61"/>
        <v>0</v>
      </c>
      <c r="AJ37" s="34">
        <f t="shared" si="61"/>
        <v>0</v>
      </c>
      <c r="AK37" s="34">
        <f t="shared" si="61"/>
        <v>0</v>
      </c>
      <c r="AL37" s="34">
        <f t="shared" si="61"/>
        <v>0</v>
      </c>
      <c r="AM37" s="34">
        <f t="shared" si="61"/>
        <v>0</v>
      </c>
      <c r="AN37" s="34">
        <f t="shared" si="61"/>
        <v>0</v>
      </c>
      <c r="AO37" s="34">
        <f t="shared" si="61"/>
        <v>0</v>
      </c>
      <c r="AP37" s="34">
        <f t="shared" si="61"/>
        <v>0</v>
      </c>
      <c r="AQ37" s="34">
        <f t="shared" si="61"/>
        <v>0</v>
      </c>
      <c r="AR37" s="34">
        <f t="shared" si="61"/>
        <v>0</v>
      </c>
      <c r="AS37" s="34">
        <f t="shared" si="61"/>
        <v>0</v>
      </c>
      <c r="AT37" s="34">
        <f t="shared" si="61"/>
        <v>0</v>
      </c>
      <c r="AU37" s="34">
        <f t="shared" si="61"/>
        <v>0</v>
      </c>
      <c r="AV37" s="34">
        <f t="shared" si="61"/>
        <v>0</v>
      </c>
      <c r="AW37" s="34">
        <f t="shared" si="61"/>
        <v>0</v>
      </c>
      <c r="AX37" s="34">
        <f t="shared" si="61"/>
        <v>0</v>
      </c>
      <c r="AY37" s="34">
        <f t="shared" si="61"/>
        <v>0</v>
      </c>
      <c r="AZ37" s="34">
        <f t="shared" si="61"/>
        <v>0</v>
      </c>
      <c r="BA37" s="34">
        <f t="shared" si="61"/>
        <v>0</v>
      </c>
      <c r="BB37" s="34">
        <f t="shared" si="61"/>
        <v>0</v>
      </c>
      <c r="BC37" s="34">
        <f t="shared" si="61"/>
        <v>0</v>
      </c>
      <c r="BD37" s="34">
        <f t="shared" si="61"/>
        <v>0</v>
      </c>
      <c r="BE37" s="34">
        <f t="shared" si="61"/>
        <v>0</v>
      </c>
      <c r="BF37" s="34">
        <f t="shared" si="61"/>
        <v>0</v>
      </c>
      <c r="BG37" s="34">
        <f t="shared" si="61"/>
        <v>0</v>
      </c>
      <c r="BH37" s="34">
        <f t="shared" si="61"/>
        <v>0</v>
      </c>
      <c r="BI37" s="34">
        <f t="shared" si="61"/>
        <v>0</v>
      </c>
      <c r="BJ37" s="34">
        <f t="shared" si="61"/>
        <v>0</v>
      </c>
      <c r="BK37" s="34">
        <f t="shared" si="61"/>
        <v>0</v>
      </c>
      <c r="BL37" s="34">
        <f t="shared" si="61"/>
        <v>0</v>
      </c>
      <c r="BM37" s="34">
        <f t="shared" si="61"/>
        <v>0</v>
      </c>
      <c r="BO37" s="19" t="s">
        <v>67</v>
      </c>
    </row>
    <row r="38" spans="1:67" s="19" customFormat="1" outlineLevel="1" x14ac:dyDescent="0.25">
      <c r="B38" s="18" t="s">
        <v>58</v>
      </c>
      <c r="C38" s="23">
        <f>VLOOKUP(C24,'Tabelas SN'!$A$2:$D$7,3,FALSE)</f>
        <v>0.04</v>
      </c>
      <c r="D38" s="23">
        <f>VLOOKUP(D24,'Tabelas SN'!$A$2:$D$7,3,FALSE)</f>
        <v>0.04</v>
      </c>
      <c r="E38" s="23">
        <f>VLOOKUP(E24,'Tabelas SN'!$A$2:$D$7,3,FALSE)</f>
        <v>0.04</v>
      </c>
      <c r="F38" s="23">
        <f>VLOOKUP(F24,'Tabelas SN'!$A$2:$D$7,3,FALSE)</f>
        <v>0.04</v>
      </c>
      <c r="G38" s="23">
        <f>VLOOKUP(G24,'Tabelas SN'!$A$2:$D$7,3,FALSE)</f>
        <v>0.04</v>
      </c>
      <c r="H38" s="23">
        <f>VLOOKUP(H24,'Tabelas SN'!$A$2:$D$7,3,FALSE)</f>
        <v>0.04</v>
      </c>
      <c r="I38" s="23">
        <f>VLOOKUP(I24,'Tabelas SN'!$A$2:$D$7,3,FALSE)</f>
        <v>0.04</v>
      </c>
      <c r="J38" s="23">
        <f>VLOOKUP(J24,'Tabelas SN'!$A$2:$D$7,3,FALSE)</f>
        <v>0.04</v>
      </c>
      <c r="K38" s="23">
        <f>VLOOKUP(K24,'Tabelas SN'!$A$2:$D$7,3,FALSE)</f>
        <v>0.04</v>
      </c>
      <c r="L38" s="23">
        <f>VLOOKUP(L24,'Tabelas SN'!$A$2:$D$7,3,FALSE)</f>
        <v>0.04</v>
      </c>
      <c r="M38" s="23">
        <f>VLOOKUP(M24,'Tabelas SN'!$A$2:$D$7,3,FALSE)</f>
        <v>0.04</v>
      </c>
      <c r="N38" s="23">
        <f>VLOOKUP(N24,'Tabelas SN'!$A$2:$D$7,3,FALSE)</f>
        <v>0.04</v>
      </c>
      <c r="O38" s="23">
        <f>VLOOKUP(O24,'Tabelas SN'!$A$2:$D$7,3,FALSE)</f>
        <v>0.04</v>
      </c>
      <c r="P38" s="23">
        <f>VLOOKUP(P24,'Tabelas SN'!$A$2:$D$7,3,FALSE)</f>
        <v>0.04</v>
      </c>
      <c r="Q38" s="23">
        <f>VLOOKUP(Q24,'Tabelas SN'!$A$2:$D$7,3,FALSE)</f>
        <v>0.04</v>
      </c>
      <c r="R38" s="23">
        <f>VLOOKUP(R24,'Tabelas SN'!$A$2:$D$7,3,FALSE)</f>
        <v>0.04</v>
      </c>
      <c r="S38" s="23">
        <f>VLOOKUP(S24,'Tabelas SN'!$A$2:$D$7,3,FALSE)</f>
        <v>0.04</v>
      </c>
      <c r="T38" s="23">
        <f>VLOOKUP(T24,'Tabelas SN'!$A$2:$D$7,3,FALSE)</f>
        <v>0.04</v>
      </c>
      <c r="U38" s="23">
        <f>VLOOKUP(U24,'Tabelas SN'!$A$2:$D$7,3,FALSE)</f>
        <v>0.04</v>
      </c>
      <c r="V38" s="23">
        <f>VLOOKUP(V24,'Tabelas SN'!$A$2:$D$7,3,FALSE)</f>
        <v>0.04</v>
      </c>
      <c r="W38" s="23">
        <f>VLOOKUP(W24,'Tabelas SN'!$A$2:$D$7,3,FALSE)</f>
        <v>0.04</v>
      </c>
      <c r="X38" s="23">
        <f>VLOOKUP(X24,'Tabelas SN'!$A$2:$D$7,3,FALSE)</f>
        <v>0.04</v>
      </c>
      <c r="Y38" s="23">
        <f>VLOOKUP(Y24,'Tabelas SN'!$A$2:$D$7,3,FALSE)</f>
        <v>0.04</v>
      </c>
      <c r="Z38" s="23">
        <f>VLOOKUP(Z24,'Tabelas SN'!$A$2:$D$7,3,FALSE)</f>
        <v>0.04</v>
      </c>
      <c r="AA38" s="23">
        <f>VLOOKUP(AA24,'Tabelas SN'!$A$2:$D$7,3,FALSE)</f>
        <v>0.04</v>
      </c>
      <c r="AB38" s="23">
        <f>VLOOKUP(AB24,'Tabelas SN'!$A$2:$D$7,3,FALSE)</f>
        <v>0.04</v>
      </c>
      <c r="AC38" s="23">
        <f>VLOOKUP(AC24,'Tabelas SN'!$A$2:$D$7,3,FALSE)</f>
        <v>0.04</v>
      </c>
      <c r="AD38" s="23">
        <f>VLOOKUP(AD24,'Tabelas SN'!$A$2:$D$7,3,FALSE)</f>
        <v>0.04</v>
      </c>
      <c r="AE38" s="23">
        <f>VLOOKUP(AE24,'Tabelas SN'!$A$2:$D$7,3,FALSE)</f>
        <v>0.04</v>
      </c>
      <c r="AF38" s="23">
        <f>VLOOKUP(AF24,'Tabelas SN'!$A$2:$D$7,3,FALSE)</f>
        <v>0.04</v>
      </c>
      <c r="AG38" s="23">
        <f>VLOOKUP(AG24,'Tabelas SN'!$A$2:$D$7,3,FALSE)</f>
        <v>0.04</v>
      </c>
      <c r="AH38" s="23">
        <f>VLOOKUP(AH24,'Tabelas SN'!$A$2:$D$7,3,FALSE)</f>
        <v>0.04</v>
      </c>
      <c r="AI38" s="23">
        <f>VLOOKUP(AI24,'Tabelas SN'!$A$2:$D$7,3,FALSE)</f>
        <v>0.04</v>
      </c>
      <c r="AJ38" s="23">
        <f>VLOOKUP(AJ24,'Tabelas SN'!$A$2:$D$7,3,FALSE)</f>
        <v>0.04</v>
      </c>
      <c r="AK38" s="23">
        <f>VLOOKUP(AK24,'Tabelas SN'!$A$2:$D$7,3,FALSE)</f>
        <v>0.04</v>
      </c>
      <c r="AL38" s="23">
        <f>VLOOKUP(AL24,'Tabelas SN'!$A$2:$D$7,3,FALSE)</f>
        <v>0.04</v>
      </c>
      <c r="AM38" s="23">
        <f>VLOOKUP(AM24,'Tabelas SN'!$A$2:$D$7,3,FALSE)</f>
        <v>0.04</v>
      </c>
      <c r="AN38" s="23">
        <f>VLOOKUP(AN24,'Tabelas SN'!$A$2:$D$7,3,FALSE)</f>
        <v>0.04</v>
      </c>
      <c r="AO38" s="23">
        <f>VLOOKUP(AO24,'Tabelas SN'!$A$2:$D$7,3,FALSE)</f>
        <v>0.04</v>
      </c>
      <c r="AP38" s="23">
        <f>VLOOKUP(AP24,'Tabelas SN'!$A$2:$D$7,3,FALSE)</f>
        <v>0.04</v>
      </c>
      <c r="AQ38" s="23">
        <f>VLOOKUP(AQ24,'Tabelas SN'!$A$2:$D$7,3,FALSE)</f>
        <v>0.04</v>
      </c>
      <c r="AR38" s="23">
        <f>VLOOKUP(AR24,'Tabelas SN'!$A$2:$D$7,3,FALSE)</f>
        <v>0.04</v>
      </c>
      <c r="AS38" s="23">
        <f>VLOOKUP(AS24,'Tabelas SN'!$A$2:$D$7,3,FALSE)</f>
        <v>0.04</v>
      </c>
      <c r="AT38" s="23">
        <f>VLOOKUP(AT24,'Tabelas SN'!$A$2:$D$7,3,FALSE)</f>
        <v>0.04</v>
      </c>
      <c r="AU38" s="23">
        <f>VLOOKUP(AU24,'Tabelas SN'!$A$2:$D$7,3,FALSE)</f>
        <v>0.04</v>
      </c>
      <c r="AV38" s="23">
        <f>VLOOKUP(AV24,'Tabelas SN'!$A$2:$D$7,3,FALSE)</f>
        <v>0.04</v>
      </c>
      <c r="AW38" s="23">
        <f>VLOOKUP(AW24,'Tabelas SN'!$A$2:$D$7,3,FALSE)</f>
        <v>0.04</v>
      </c>
      <c r="AX38" s="23">
        <f>VLOOKUP(AX24,'Tabelas SN'!$A$2:$D$7,3,FALSE)</f>
        <v>0.04</v>
      </c>
      <c r="AY38" s="23">
        <f>VLOOKUP(AY24,'Tabelas SN'!$A$2:$D$7,3,FALSE)</f>
        <v>0.04</v>
      </c>
      <c r="AZ38" s="23">
        <f>VLOOKUP(AZ24,'Tabelas SN'!$A$2:$D$7,3,FALSE)</f>
        <v>0.04</v>
      </c>
      <c r="BA38" s="23">
        <f>VLOOKUP(BA24,'Tabelas SN'!$A$2:$D$7,3,FALSE)</f>
        <v>0.04</v>
      </c>
      <c r="BB38" s="23">
        <f>VLOOKUP(BB24,'Tabelas SN'!$A$2:$D$7,3,FALSE)</f>
        <v>0.04</v>
      </c>
      <c r="BC38" s="23">
        <f>VLOOKUP(BC24,'Tabelas SN'!$A$2:$D$7,3,FALSE)</f>
        <v>0.04</v>
      </c>
      <c r="BD38" s="23">
        <f>VLOOKUP(BD24,'Tabelas SN'!$A$2:$D$7,3,FALSE)</f>
        <v>0.04</v>
      </c>
      <c r="BE38" s="23">
        <f>VLOOKUP(BE24,'Tabelas SN'!$A$2:$D$7,3,FALSE)</f>
        <v>0.04</v>
      </c>
      <c r="BF38" s="23">
        <f>VLOOKUP(BF24,'Tabelas SN'!$A$2:$D$7,3,FALSE)</f>
        <v>0.04</v>
      </c>
      <c r="BG38" s="23">
        <f>VLOOKUP(BG24,'Tabelas SN'!$A$2:$D$7,3,FALSE)</f>
        <v>0.04</v>
      </c>
      <c r="BH38" s="23">
        <f>VLOOKUP(BH24,'Tabelas SN'!$A$2:$D$7,3,FALSE)</f>
        <v>0.04</v>
      </c>
      <c r="BI38" s="23">
        <f>VLOOKUP(BI24,'Tabelas SN'!$A$2:$D$7,3,FALSE)</f>
        <v>0.04</v>
      </c>
      <c r="BJ38" s="23">
        <f>VLOOKUP(BJ24,'Tabelas SN'!$A$2:$D$7,3,FALSE)</f>
        <v>0.04</v>
      </c>
      <c r="BK38" s="23">
        <f>VLOOKUP(BK24,'Tabelas SN'!$A$2:$D$7,3,FALSE)</f>
        <v>0.04</v>
      </c>
      <c r="BL38" s="23">
        <f>VLOOKUP(BL24,'Tabelas SN'!$A$2:$D$7,3,FALSE)</f>
        <v>0.04</v>
      </c>
      <c r="BM38" s="23">
        <f>VLOOKUP(BM24,'Tabelas SN'!$A$2:$D$7,3,FALSE)</f>
        <v>0.04</v>
      </c>
      <c r="BO38" s="19" t="s">
        <v>67</v>
      </c>
    </row>
    <row r="39" spans="1:67" outlineLevel="1" x14ac:dyDescent="0.25">
      <c r="B39" s="4" t="s">
        <v>32</v>
      </c>
      <c r="C39" s="1">
        <f>C38*C30-VLOOKUP(C24,'Tabelas SN'!$A$2:$D$7,4,FALSE)</f>
        <v>0</v>
      </c>
      <c r="D39" s="1">
        <f>D38*D30-VLOOKUP(D24,'Tabelas SN'!$A$2:$D$7,4,FALSE)</f>
        <v>0</v>
      </c>
      <c r="E39" s="1">
        <f>E38*E30-VLOOKUP(E24,'Tabelas SN'!$A$2:$D$7,4,FALSE)</f>
        <v>0</v>
      </c>
      <c r="F39" s="1">
        <f>F38*F30-VLOOKUP(F24,'Tabelas SN'!$A$2:$D$7,4,FALSE)</f>
        <v>0</v>
      </c>
      <c r="G39" s="1">
        <f>G38*G30-VLOOKUP(G24,'Tabelas SN'!$A$2:$D$7,4,FALSE)</f>
        <v>0</v>
      </c>
      <c r="H39" s="1">
        <f>H38*H30-VLOOKUP(H24,'Tabelas SN'!$A$2:$D$7,4,FALSE)</f>
        <v>0</v>
      </c>
      <c r="I39" s="1">
        <f>I38*I30-VLOOKUP(I24,'Tabelas SN'!$A$2:$D$7,4,FALSE)</f>
        <v>0</v>
      </c>
      <c r="J39" s="1">
        <f>J38*J30-VLOOKUP(J24,'Tabelas SN'!$A$2:$D$7,4,FALSE)</f>
        <v>0</v>
      </c>
      <c r="K39" s="1">
        <f>K38*K30-VLOOKUP(K24,'Tabelas SN'!$A$2:$D$7,4,FALSE)</f>
        <v>0</v>
      </c>
      <c r="L39" s="1">
        <f>L38*L30-VLOOKUP(L24,'Tabelas SN'!$A$2:$D$7,4,FALSE)</f>
        <v>0</v>
      </c>
      <c r="M39" s="1">
        <f>M38*M30-VLOOKUP(M24,'Tabelas SN'!$A$2:$D$7,4,FALSE)</f>
        <v>0</v>
      </c>
      <c r="N39" s="1">
        <f>N38*N30-VLOOKUP(N24,'Tabelas SN'!$A$2:$D$7,4,FALSE)</f>
        <v>0</v>
      </c>
      <c r="O39" s="1">
        <f>O38*O30-VLOOKUP(O24,'Tabelas SN'!$A$2:$D$7,4,FALSE)</f>
        <v>0</v>
      </c>
      <c r="P39" s="1">
        <f>P38*P30-VLOOKUP(P24,'Tabelas SN'!$A$2:$D$7,4,FALSE)</f>
        <v>0</v>
      </c>
      <c r="Q39" s="1">
        <f>Q38*Q30-VLOOKUP(Q24,'Tabelas SN'!$A$2:$D$7,4,FALSE)</f>
        <v>0</v>
      </c>
      <c r="R39" s="1">
        <f>R38*R30-VLOOKUP(R24,'Tabelas SN'!$A$2:$D$7,4,FALSE)</f>
        <v>0</v>
      </c>
      <c r="S39" s="1">
        <f>S38*S30-VLOOKUP(S24,'Tabelas SN'!$A$2:$D$7,4,FALSE)</f>
        <v>0</v>
      </c>
      <c r="T39" s="1">
        <f>T38*T30-VLOOKUP(T24,'Tabelas SN'!$A$2:$D$7,4,FALSE)</f>
        <v>0</v>
      </c>
      <c r="U39" s="1">
        <f>U38*U30-VLOOKUP(U24,'Tabelas SN'!$A$2:$D$7,4,FALSE)</f>
        <v>0</v>
      </c>
      <c r="V39" s="1">
        <f>V38*V30-VLOOKUP(V24,'Tabelas SN'!$A$2:$D$7,4,FALSE)</f>
        <v>0</v>
      </c>
      <c r="W39" s="1">
        <f>W38*W30-VLOOKUP(W24,'Tabelas SN'!$A$2:$D$7,4,FALSE)</f>
        <v>0</v>
      </c>
      <c r="X39" s="1">
        <f>X38*X30-VLOOKUP(X24,'Tabelas SN'!$A$2:$D$7,4,FALSE)</f>
        <v>0</v>
      </c>
      <c r="Y39" s="1">
        <f>Y38*Y30-VLOOKUP(Y24,'Tabelas SN'!$A$2:$D$7,4,FALSE)</f>
        <v>0</v>
      </c>
      <c r="Z39" s="1">
        <f>Z38*Z30-VLOOKUP(Z24,'Tabelas SN'!$A$2:$D$7,4,FALSE)</f>
        <v>0</v>
      </c>
      <c r="AA39" s="1">
        <f>AA38*AA30-VLOOKUP(AA24,'Tabelas SN'!$A$2:$D$7,4,FALSE)</f>
        <v>0</v>
      </c>
      <c r="AB39" s="1">
        <f>AB38*AB30-VLOOKUP(AB24,'Tabelas SN'!$A$2:$D$7,4,FALSE)</f>
        <v>0</v>
      </c>
      <c r="AC39" s="1">
        <f>AC38*AC30-VLOOKUP(AC24,'Tabelas SN'!$A$2:$D$7,4,FALSE)</f>
        <v>0</v>
      </c>
      <c r="AD39" s="1">
        <f>AD38*AD30-VLOOKUP(AD24,'Tabelas SN'!$A$2:$D$7,4,FALSE)</f>
        <v>0</v>
      </c>
      <c r="AE39" s="1">
        <f>AE38*AE30-VLOOKUP(AE24,'Tabelas SN'!$A$2:$D$7,4,FALSE)</f>
        <v>0</v>
      </c>
      <c r="AF39" s="1">
        <f>AF38*AF30-VLOOKUP(AF24,'Tabelas SN'!$A$2:$D$7,4,FALSE)</f>
        <v>0</v>
      </c>
      <c r="AG39" s="1">
        <f>AG38*AG30-VLOOKUP(AG24,'Tabelas SN'!$A$2:$D$7,4,FALSE)</f>
        <v>0</v>
      </c>
      <c r="AH39" s="1">
        <f>AH38*AH30-VLOOKUP(AH24,'Tabelas SN'!$A$2:$D$7,4,FALSE)</f>
        <v>0</v>
      </c>
      <c r="AI39" s="1">
        <f>AI38*AI30-VLOOKUP(AI24,'Tabelas SN'!$A$2:$D$7,4,FALSE)</f>
        <v>0</v>
      </c>
      <c r="AJ39" s="1">
        <f>AJ38*AJ30-VLOOKUP(AJ24,'Tabelas SN'!$A$2:$D$7,4,FALSE)</f>
        <v>0</v>
      </c>
      <c r="AK39" s="1">
        <f>AK38*AK30-VLOOKUP(AK24,'Tabelas SN'!$A$2:$D$7,4,FALSE)</f>
        <v>0</v>
      </c>
      <c r="AL39" s="1">
        <f>AL38*AL30-VLOOKUP(AL24,'Tabelas SN'!$A$2:$D$7,4,FALSE)</f>
        <v>0</v>
      </c>
      <c r="AM39" s="1">
        <f>AM38*AM30-VLOOKUP(AM24,'Tabelas SN'!$A$2:$D$7,4,FALSE)</f>
        <v>0</v>
      </c>
      <c r="AN39" s="1">
        <f>AN38*AN30-VLOOKUP(AN24,'Tabelas SN'!$A$2:$D$7,4,FALSE)</f>
        <v>0</v>
      </c>
      <c r="AO39" s="1">
        <f>AO38*AO30-VLOOKUP(AO24,'Tabelas SN'!$A$2:$D$7,4,FALSE)</f>
        <v>0</v>
      </c>
      <c r="AP39" s="1">
        <f>AP38*AP30-VLOOKUP(AP24,'Tabelas SN'!$A$2:$D$7,4,FALSE)</f>
        <v>0</v>
      </c>
      <c r="AQ39" s="1">
        <f>AQ38*AQ30-VLOOKUP(AQ24,'Tabelas SN'!$A$2:$D$7,4,FALSE)</f>
        <v>0</v>
      </c>
      <c r="AR39" s="1">
        <f>AR38*AR30-VLOOKUP(AR24,'Tabelas SN'!$A$2:$D$7,4,FALSE)</f>
        <v>0</v>
      </c>
      <c r="AS39" s="1">
        <f>AS38*AS30-VLOOKUP(AS24,'Tabelas SN'!$A$2:$D$7,4,FALSE)</f>
        <v>0</v>
      </c>
      <c r="AT39" s="1">
        <f>AT38*AT30-VLOOKUP(AT24,'Tabelas SN'!$A$2:$D$7,4,FALSE)</f>
        <v>0</v>
      </c>
      <c r="AU39" s="1">
        <f>AU38*AU30-VLOOKUP(AU24,'Tabelas SN'!$A$2:$D$7,4,FALSE)</f>
        <v>0</v>
      </c>
      <c r="AV39" s="1">
        <f>AV38*AV30-VLOOKUP(AV24,'Tabelas SN'!$A$2:$D$7,4,FALSE)</f>
        <v>0</v>
      </c>
      <c r="AW39" s="1">
        <f>AW38*AW30-VLOOKUP(AW24,'Tabelas SN'!$A$2:$D$7,4,FALSE)</f>
        <v>0</v>
      </c>
      <c r="AX39" s="1">
        <f>AX38*AX30-VLOOKUP(AX24,'Tabelas SN'!$A$2:$D$7,4,FALSE)</f>
        <v>0</v>
      </c>
      <c r="AY39" s="1">
        <f>AY38*AY30-VLOOKUP(AY24,'Tabelas SN'!$A$2:$D$7,4,FALSE)</f>
        <v>0</v>
      </c>
      <c r="AZ39" s="1">
        <f>AZ38*AZ30-VLOOKUP(AZ24,'Tabelas SN'!$A$2:$D$7,4,FALSE)</f>
        <v>0</v>
      </c>
      <c r="BA39" s="1">
        <f>BA38*BA30-VLOOKUP(BA24,'Tabelas SN'!$A$2:$D$7,4,FALSE)</f>
        <v>0</v>
      </c>
      <c r="BB39" s="1">
        <f>BB38*BB30-VLOOKUP(BB24,'Tabelas SN'!$A$2:$D$7,4,FALSE)</f>
        <v>0</v>
      </c>
      <c r="BC39" s="1">
        <f>BC38*BC30-VLOOKUP(BC24,'Tabelas SN'!$A$2:$D$7,4,FALSE)</f>
        <v>0</v>
      </c>
      <c r="BD39" s="1">
        <f>BD38*BD30-VLOOKUP(BD24,'Tabelas SN'!$A$2:$D$7,4,FALSE)</f>
        <v>0</v>
      </c>
      <c r="BE39" s="1">
        <f>BE38*BE30-VLOOKUP(BE24,'Tabelas SN'!$A$2:$D$7,4,FALSE)</f>
        <v>0</v>
      </c>
      <c r="BF39" s="1">
        <f>BF38*BF30-VLOOKUP(BF24,'Tabelas SN'!$A$2:$D$7,4,FALSE)</f>
        <v>0</v>
      </c>
      <c r="BG39" s="1">
        <f>BG38*BG30-VLOOKUP(BG24,'Tabelas SN'!$A$2:$D$7,4,FALSE)</f>
        <v>0</v>
      </c>
      <c r="BH39" s="1">
        <f>BH38*BH30-VLOOKUP(BH24,'Tabelas SN'!$A$2:$D$7,4,FALSE)</f>
        <v>0</v>
      </c>
      <c r="BI39" s="1">
        <f>BI38*BI30-VLOOKUP(BI24,'Tabelas SN'!$A$2:$D$7,4,FALSE)</f>
        <v>0</v>
      </c>
      <c r="BJ39" s="1">
        <f>BJ38*BJ30-VLOOKUP(BJ24,'Tabelas SN'!$A$2:$D$7,4,FALSE)</f>
        <v>0</v>
      </c>
      <c r="BK39" s="1">
        <f>BK38*BK30-VLOOKUP(BK24,'Tabelas SN'!$A$2:$D$7,4,FALSE)</f>
        <v>0</v>
      </c>
      <c r="BL39" s="1">
        <f>BL38*BL30-VLOOKUP(BL24,'Tabelas SN'!$A$2:$D$7,4,FALSE)</f>
        <v>0</v>
      </c>
      <c r="BM39" s="1">
        <f>BM38*BM30-VLOOKUP(BM24,'Tabelas SN'!$A$2:$D$7,4,FALSE)</f>
        <v>0</v>
      </c>
      <c r="BO39" s="19" t="s">
        <v>67</v>
      </c>
    </row>
    <row r="40" spans="1:67" s="19" customFormat="1" outlineLevel="1" x14ac:dyDescent="0.25">
      <c r="B40" s="18" t="s">
        <v>33</v>
      </c>
      <c r="C40" s="21" t="str">
        <f t="shared" ref="C40" si="62">IFERROR(C39/C$30,"-")</f>
        <v>-</v>
      </c>
      <c r="D40" s="21" t="str">
        <f t="shared" ref="D40" si="63">IFERROR(D39/D$30,"-")</f>
        <v>-</v>
      </c>
      <c r="E40" s="21" t="str">
        <f t="shared" ref="E40" si="64">IFERROR(E39/E$30,"-")</f>
        <v>-</v>
      </c>
      <c r="F40" s="21" t="str">
        <f t="shared" ref="F40" si="65">IFERROR(F39/F$30,"-")</f>
        <v>-</v>
      </c>
      <c r="G40" s="21" t="str">
        <f t="shared" ref="G40" si="66">IFERROR(G39/G$30,"-")</f>
        <v>-</v>
      </c>
      <c r="H40" s="21" t="str">
        <f t="shared" ref="H40" si="67">IFERROR(H39/H$30,"-")</f>
        <v>-</v>
      </c>
      <c r="I40" s="21" t="str">
        <f t="shared" ref="I40" si="68">IFERROR(I39/I$30,"-")</f>
        <v>-</v>
      </c>
      <c r="J40" s="21" t="str">
        <f t="shared" ref="J40" si="69">IFERROR(J39/J$30,"-")</f>
        <v>-</v>
      </c>
      <c r="K40" s="21" t="str">
        <f t="shared" ref="K40" si="70">IFERROR(K39/K$30,"-")</f>
        <v>-</v>
      </c>
      <c r="L40" s="21" t="str">
        <f t="shared" ref="L40" si="71">IFERROR(L39/L$30,"-")</f>
        <v>-</v>
      </c>
      <c r="M40" s="21" t="str">
        <f t="shared" ref="M40:AY40" si="72">IFERROR(M39/M$30,"-")</f>
        <v>-</v>
      </c>
      <c r="N40" s="21" t="str">
        <f t="shared" si="72"/>
        <v>-</v>
      </c>
      <c r="O40" s="21" t="str">
        <f t="shared" si="72"/>
        <v>-</v>
      </c>
      <c r="P40" s="21" t="str">
        <f t="shared" si="72"/>
        <v>-</v>
      </c>
      <c r="Q40" s="21" t="str">
        <f t="shared" si="72"/>
        <v>-</v>
      </c>
      <c r="R40" s="21" t="str">
        <f t="shared" si="72"/>
        <v>-</v>
      </c>
      <c r="S40" s="21" t="str">
        <f t="shared" si="72"/>
        <v>-</v>
      </c>
      <c r="T40" s="21" t="str">
        <f t="shared" si="72"/>
        <v>-</v>
      </c>
      <c r="U40" s="21" t="str">
        <f t="shared" si="72"/>
        <v>-</v>
      </c>
      <c r="V40" s="21" t="str">
        <f t="shared" si="72"/>
        <v>-</v>
      </c>
      <c r="W40" s="21" t="str">
        <f t="shared" si="72"/>
        <v>-</v>
      </c>
      <c r="X40" s="21" t="str">
        <f t="shared" si="72"/>
        <v>-</v>
      </c>
      <c r="Y40" s="21" t="str">
        <f t="shared" si="72"/>
        <v>-</v>
      </c>
      <c r="Z40" s="21" t="str">
        <f t="shared" si="72"/>
        <v>-</v>
      </c>
      <c r="AA40" s="21" t="str">
        <f t="shared" si="72"/>
        <v>-</v>
      </c>
      <c r="AB40" s="21" t="str">
        <f t="shared" si="72"/>
        <v>-</v>
      </c>
      <c r="AC40" s="21" t="str">
        <f t="shared" si="72"/>
        <v>-</v>
      </c>
      <c r="AD40" s="21" t="str">
        <f t="shared" si="72"/>
        <v>-</v>
      </c>
      <c r="AE40" s="21" t="str">
        <f t="shared" si="72"/>
        <v>-</v>
      </c>
      <c r="AF40" s="21" t="str">
        <f t="shared" si="72"/>
        <v>-</v>
      </c>
      <c r="AG40" s="21" t="str">
        <f t="shared" si="72"/>
        <v>-</v>
      </c>
      <c r="AH40" s="21" t="str">
        <f t="shared" si="72"/>
        <v>-</v>
      </c>
      <c r="AI40" s="21" t="str">
        <f t="shared" si="72"/>
        <v>-</v>
      </c>
      <c r="AJ40" s="21" t="str">
        <f t="shared" si="72"/>
        <v>-</v>
      </c>
      <c r="AK40" s="21" t="str">
        <f t="shared" si="72"/>
        <v>-</v>
      </c>
      <c r="AL40" s="21" t="str">
        <f t="shared" si="72"/>
        <v>-</v>
      </c>
      <c r="AM40" s="21" t="str">
        <f t="shared" si="72"/>
        <v>-</v>
      </c>
      <c r="AN40" s="21" t="str">
        <f t="shared" si="72"/>
        <v>-</v>
      </c>
      <c r="AO40" s="21" t="str">
        <f t="shared" si="72"/>
        <v>-</v>
      </c>
      <c r="AP40" s="21" t="str">
        <f t="shared" si="72"/>
        <v>-</v>
      </c>
      <c r="AQ40" s="21" t="str">
        <f t="shared" si="72"/>
        <v>-</v>
      </c>
      <c r="AR40" s="21" t="str">
        <f t="shared" si="72"/>
        <v>-</v>
      </c>
      <c r="AS40" s="21" t="str">
        <f t="shared" si="72"/>
        <v>-</v>
      </c>
      <c r="AT40" s="21" t="str">
        <f t="shared" si="72"/>
        <v>-</v>
      </c>
      <c r="AU40" s="21" t="str">
        <f t="shared" si="72"/>
        <v>-</v>
      </c>
      <c r="AV40" s="21" t="str">
        <f t="shared" si="72"/>
        <v>-</v>
      </c>
      <c r="AW40" s="21" t="str">
        <f t="shared" si="72"/>
        <v>-</v>
      </c>
      <c r="AX40" s="21" t="str">
        <f t="shared" si="72"/>
        <v>-</v>
      </c>
      <c r="AY40" s="21" t="str">
        <f t="shared" si="72"/>
        <v>-</v>
      </c>
      <c r="AZ40" s="21" t="str">
        <f>IFERROR(AZ39/AZ$30,"-")</f>
        <v>-</v>
      </c>
      <c r="BA40" s="21" t="str">
        <f>IFERROR(BA39/BA$30,"-")</f>
        <v>-</v>
      </c>
      <c r="BB40" s="21" t="str">
        <f t="shared" ref="BB40:BM40" si="73">IFERROR(BB39/BB$30,"-")</f>
        <v>-</v>
      </c>
      <c r="BC40" s="21" t="str">
        <f t="shared" si="73"/>
        <v>-</v>
      </c>
      <c r="BD40" s="21" t="str">
        <f t="shared" si="73"/>
        <v>-</v>
      </c>
      <c r="BE40" s="21" t="str">
        <f t="shared" si="73"/>
        <v>-</v>
      </c>
      <c r="BF40" s="21" t="str">
        <f t="shared" si="73"/>
        <v>-</v>
      </c>
      <c r="BG40" s="21" t="str">
        <f t="shared" si="73"/>
        <v>-</v>
      </c>
      <c r="BH40" s="21" t="str">
        <f t="shared" si="73"/>
        <v>-</v>
      </c>
      <c r="BI40" s="21" t="str">
        <f t="shared" si="73"/>
        <v>-</v>
      </c>
      <c r="BJ40" s="21" t="str">
        <f t="shared" si="73"/>
        <v>-</v>
      </c>
      <c r="BK40" s="21" t="str">
        <f t="shared" si="73"/>
        <v>-</v>
      </c>
      <c r="BL40" s="21" t="str">
        <f t="shared" si="73"/>
        <v>-</v>
      </c>
      <c r="BM40" s="21" t="str">
        <f t="shared" si="73"/>
        <v>-</v>
      </c>
      <c r="BO40" s="19" t="s">
        <v>67</v>
      </c>
    </row>
    <row r="41" spans="1:67" outlineLevel="1" x14ac:dyDescent="0.25">
      <c r="B41" s="4" t="s">
        <v>34</v>
      </c>
      <c r="C41" s="1" t="str">
        <f t="shared" ref="C41:AH41" si="74">IFERROR(C40*(C7),"-")</f>
        <v>-</v>
      </c>
      <c r="D41" s="1" t="str">
        <f t="shared" si="74"/>
        <v>-</v>
      </c>
      <c r="E41" s="1" t="str">
        <f t="shared" si="74"/>
        <v>-</v>
      </c>
      <c r="F41" s="1" t="str">
        <f t="shared" si="74"/>
        <v>-</v>
      </c>
      <c r="G41" s="1" t="str">
        <f t="shared" si="74"/>
        <v>-</v>
      </c>
      <c r="H41" s="1" t="str">
        <f t="shared" si="74"/>
        <v>-</v>
      </c>
      <c r="I41" s="1" t="str">
        <f t="shared" si="74"/>
        <v>-</v>
      </c>
      <c r="J41" s="1" t="str">
        <f t="shared" si="74"/>
        <v>-</v>
      </c>
      <c r="K41" s="1" t="str">
        <f t="shared" si="74"/>
        <v>-</v>
      </c>
      <c r="L41" s="1" t="str">
        <f t="shared" si="74"/>
        <v>-</v>
      </c>
      <c r="M41" s="1" t="str">
        <f t="shared" si="74"/>
        <v>-</v>
      </c>
      <c r="N41" s="1" t="str">
        <f t="shared" si="74"/>
        <v>-</v>
      </c>
      <c r="O41" s="1" t="str">
        <f t="shared" si="74"/>
        <v>-</v>
      </c>
      <c r="P41" s="1" t="str">
        <f t="shared" si="74"/>
        <v>-</v>
      </c>
      <c r="Q41" s="1" t="str">
        <f t="shared" si="74"/>
        <v>-</v>
      </c>
      <c r="R41" s="1" t="str">
        <f t="shared" si="74"/>
        <v>-</v>
      </c>
      <c r="S41" s="1" t="str">
        <f t="shared" si="74"/>
        <v>-</v>
      </c>
      <c r="T41" s="1" t="str">
        <f t="shared" si="74"/>
        <v>-</v>
      </c>
      <c r="U41" s="1" t="str">
        <f t="shared" si="74"/>
        <v>-</v>
      </c>
      <c r="V41" s="1" t="str">
        <f t="shared" si="74"/>
        <v>-</v>
      </c>
      <c r="W41" s="1" t="str">
        <f t="shared" si="74"/>
        <v>-</v>
      </c>
      <c r="X41" s="1" t="str">
        <f t="shared" si="74"/>
        <v>-</v>
      </c>
      <c r="Y41" s="1" t="str">
        <f t="shared" si="74"/>
        <v>-</v>
      </c>
      <c r="Z41" s="1" t="str">
        <f t="shared" si="74"/>
        <v>-</v>
      </c>
      <c r="AA41" s="1" t="str">
        <f t="shared" si="74"/>
        <v>-</v>
      </c>
      <c r="AB41" s="1" t="str">
        <f t="shared" si="74"/>
        <v>-</v>
      </c>
      <c r="AC41" s="1" t="str">
        <f t="shared" si="74"/>
        <v>-</v>
      </c>
      <c r="AD41" s="1" t="str">
        <f t="shared" si="74"/>
        <v>-</v>
      </c>
      <c r="AE41" s="1" t="str">
        <f t="shared" si="74"/>
        <v>-</v>
      </c>
      <c r="AF41" s="1" t="str">
        <f t="shared" si="74"/>
        <v>-</v>
      </c>
      <c r="AG41" s="1" t="str">
        <f t="shared" si="74"/>
        <v>-</v>
      </c>
      <c r="AH41" s="1" t="str">
        <f t="shared" si="74"/>
        <v>-</v>
      </c>
      <c r="AI41" s="1" t="str">
        <f t="shared" ref="AI41:BM41" si="75">IFERROR(AI40*(AI7),"-")</f>
        <v>-</v>
      </c>
      <c r="AJ41" s="1" t="str">
        <f t="shared" si="75"/>
        <v>-</v>
      </c>
      <c r="AK41" s="1" t="str">
        <f t="shared" si="75"/>
        <v>-</v>
      </c>
      <c r="AL41" s="1" t="str">
        <f t="shared" si="75"/>
        <v>-</v>
      </c>
      <c r="AM41" s="1" t="str">
        <f t="shared" si="75"/>
        <v>-</v>
      </c>
      <c r="AN41" s="1" t="str">
        <f>IFERROR(AN40*(AN7),"-")</f>
        <v>-</v>
      </c>
      <c r="AO41" s="1" t="str">
        <f t="shared" si="75"/>
        <v>-</v>
      </c>
      <c r="AP41" s="1" t="str">
        <f t="shared" si="75"/>
        <v>-</v>
      </c>
      <c r="AQ41" s="1" t="str">
        <f t="shared" si="75"/>
        <v>-</v>
      </c>
      <c r="AR41" s="1" t="str">
        <f t="shared" si="75"/>
        <v>-</v>
      </c>
      <c r="AS41" s="1" t="str">
        <f t="shared" si="75"/>
        <v>-</v>
      </c>
      <c r="AT41" s="1" t="str">
        <f t="shared" si="75"/>
        <v>-</v>
      </c>
      <c r="AU41" s="1" t="str">
        <f t="shared" si="75"/>
        <v>-</v>
      </c>
      <c r="AV41" s="1" t="str">
        <f t="shared" si="75"/>
        <v>-</v>
      </c>
      <c r="AW41" s="1" t="str">
        <f t="shared" si="75"/>
        <v>-</v>
      </c>
      <c r="AX41" s="1" t="str">
        <f t="shared" si="75"/>
        <v>-</v>
      </c>
      <c r="AY41" s="1" t="str">
        <f t="shared" si="75"/>
        <v>-</v>
      </c>
      <c r="AZ41" s="1" t="str">
        <f t="shared" si="75"/>
        <v>-</v>
      </c>
      <c r="BA41" s="1" t="str">
        <f t="shared" si="75"/>
        <v>-</v>
      </c>
      <c r="BB41" s="1" t="str">
        <f t="shared" si="75"/>
        <v>-</v>
      </c>
      <c r="BC41" s="1" t="str">
        <f t="shared" si="75"/>
        <v>-</v>
      </c>
      <c r="BD41" s="1" t="str">
        <f t="shared" si="75"/>
        <v>-</v>
      </c>
      <c r="BE41" s="1" t="str">
        <f t="shared" si="75"/>
        <v>-</v>
      </c>
      <c r="BF41" s="1" t="str">
        <f t="shared" si="75"/>
        <v>-</v>
      </c>
      <c r="BG41" s="1" t="str">
        <f t="shared" si="75"/>
        <v>-</v>
      </c>
      <c r="BH41" s="1" t="str">
        <f t="shared" si="75"/>
        <v>-</v>
      </c>
      <c r="BI41" s="1" t="str">
        <f t="shared" si="75"/>
        <v>-</v>
      </c>
      <c r="BJ41" s="1" t="str">
        <f t="shared" si="75"/>
        <v>-</v>
      </c>
      <c r="BK41" s="1" t="str">
        <f t="shared" si="75"/>
        <v>-</v>
      </c>
      <c r="BL41" s="1" t="str">
        <f t="shared" si="75"/>
        <v>-</v>
      </c>
      <c r="BM41" s="1" t="str">
        <f t="shared" si="75"/>
        <v>-</v>
      </c>
      <c r="BO41" s="19" t="s">
        <v>67</v>
      </c>
    </row>
    <row r="42" spans="1:67" s="19" customFormat="1" outlineLevel="1" x14ac:dyDescent="0.25">
      <c r="B42" s="18" t="s">
        <v>38</v>
      </c>
      <c r="C42" s="23" t="str">
        <f>IFERROR(C40*VLOOKUP(C24,'Tabelas SN'!$A$11:$J$16,8,FALSE),"-")</f>
        <v>-</v>
      </c>
      <c r="D42" s="23" t="str">
        <f>IFERROR(D40*VLOOKUP(D24,'Tabelas SN'!$A$11:$J$16,8,FALSE),"-")</f>
        <v>-</v>
      </c>
      <c r="E42" s="23" t="str">
        <f>IFERROR(E40*VLOOKUP(E24,'Tabelas SN'!$A$11:$J$16,8,FALSE),"-")</f>
        <v>-</v>
      </c>
      <c r="F42" s="23" t="str">
        <f>IFERROR(F40*VLOOKUP(F24,'Tabelas SN'!$A$11:$J$16,8,FALSE),"-")</f>
        <v>-</v>
      </c>
      <c r="G42" s="23" t="str">
        <f>IFERROR(G40*VLOOKUP(G24,'Tabelas SN'!$A$11:$J$16,8,FALSE),"-")</f>
        <v>-</v>
      </c>
      <c r="H42" s="23" t="str">
        <f>IFERROR(H40*VLOOKUP(H24,'Tabelas SN'!$A$11:$J$16,8,FALSE),"-")</f>
        <v>-</v>
      </c>
      <c r="I42" s="23" t="str">
        <f>IFERROR(I40*VLOOKUP(I24,'Tabelas SN'!$A$11:$J$16,8,FALSE),"-")</f>
        <v>-</v>
      </c>
      <c r="J42" s="23" t="str">
        <f>IFERROR(J40*VLOOKUP(J24,'Tabelas SN'!$A$11:$J$16,8,FALSE),"-")</f>
        <v>-</v>
      </c>
      <c r="K42" s="23" t="str">
        <f>IFERROR(K40*VLOOKUP(K24,'Tabelas SN'!$A$11:$J$16,8,FALSE),"-")</f>
        <v>-</v>
      </c>
      <c r="L42" s="23" t="str">
        <f>IFERROR(L40*VLOOKUP(L24,'Tabelas SN'!$A$11:$J$16,8,FALSE),"-")</f>
        <v>-</v>
      </c>
      <c r="M42" s="23" t="str">
        <f>IFERROR(M40*VLOOKUP(M24,'Tabelas SN'!$A$11:$J$16,8,FALSE),"-")</f>
        <v>-</v>
      </c>
      <c r="N42" s="23" t="str">
        <f>IFERROR(N40*VLOOKUP(N24,'Tabelas SN'!$A$11:$J$16,8,FALSE),"-")</f>
        <v>-</v>
      </c>
      <c r="O42" s="23" t="str">
        <f>IFERROR(O40*VLOOKUP(O24,'Tabelas SN'!$A$11:$J$16,8,FALSE),"-")</f>
        <v>-</v>
      </c>
      <c r="P42" s="23" t="str">
        <f>IFERROR(P40*VLOOKUP(P24,'Tabelas SN'!$A$11:$J$16,8,FALSE),"-")</f>
        <v>-</v>
      </c>
      <c r="Q42" s="23" t="str">
        <f>IFERROR(Q40*VLOOKUP(Q24,'Tabelas SN'!$A$11:$J$16,8,FALSE),"-")</f>
        <v>-</v>
      </c>
      <c r="R42" s="23" t="str">
        <f>IFERROR(R40*VLOOKUP(R24,'Tabelas SN'!$A$11:$J$16,8,FALSE),"-")</f>
        <v>-</v>
      </c>
      <c r="S42" s="23" t="str">
        <f>IFERROR(S40*VLOOKUP(S24,'Tabelas SN'!$A$11:$J$16,8,FALSE),"-")</f>
        <v>-</v>
      </c>
      <c r="T42" s="23" t="str">
        <f>IFERROR(T40*VLOOKUP(T24,'Tabelas SN'!$A$11:$J$16,8,FALSE),"-")</f>
        <v>-</v>
      </c>
      <c r="U42" s="23" t="str">
        <f>IFERROR(U40*VLOOKUP(U24,'Tabelas SN'!$A$11:$J$16,8,FALSE),"-")</f>
        <v>-</v>
      </c>
      <c r="V42" s="23" t="str">
        <f>IFERROR(V40*VLOOKUP(V24,'Tabelas SN'!$A$11:$J$16,8,FALSE),"-")</f>
        <v>-</v>
      </c>
      <c r="W42" s="23" t="str">
        <f>IFERROR(W40*VLOOKUP(W24,'Tabelas SN'!$A$11:$J$16,8,FALSE),"-")</f>
        <v>-</v>
      </c>
      <c r="X42" s="23" t="str">
        <f>IFERROR(X40*VLOOKUP(X24,'Tabelas SN'!$A$11:$J$16,8,FALSE),"-")</f>
        <v>-</v>
      </c>
      <c r="Y42" s="23" t="str">
        <f>IFERROR(Y40*VLOOKUP(Y24,'Tabelas SN'!$A$11:$J$16,8,FALSE),"-")</f>
        <v>-</v>
      </c>
      <c r="Z42" s="23" t="str">
        <f>IFERROR(Z40*VLOOKUP(Z24,'Tabelas SN'!$A$11:$J$16,8,FALSE),"-")</f>
        <v>-</v>
      </c>
      <c r="AA42" s="23" t="str">
        <f>IFERROR(AA40*VLOOKUP(AA24,'Tabelas SN'!$A$11:$J$16,8,FALSE),"-")</f>
        <v>-</v>
      </c>
      <c r="AB42" s="23" t="str">
        <f>IFERROR(AB40*VLOOKUP(AB24,'Tabelas SN'!$A$11:$J$16,8,FALSE),"-")</f>
        <v>-</v>
      </c>
      <c r="AC42" s="23" t="str">
        <f>IFERROR(AC40*VLOOKUP(AC24,'Tabelas SN'!$A$11:$J$16,8,FALSE),"-")</f>
        <v>-</v>
      </c>
      <c r="AD42" s="23" t="str">
        <f>IFERROR(AD40*VLOOKUP(AD24,'Tabelas SN'!$A$11:$J$16,8,FALSE),"-")</f>
        <v>-</v>
      </c>
      <c r="AE42" s="23" t="str">
        <f>IFERROR(AE40*VLOOKUP(AE24,'Tabelas SN'!$A$11:$J$16,8,FALSE),"-")</f>
        <v>-</v>
      </c>
      <c r="AF42" s="23" t="str">
        <f>IFERROR(AF40*VLOOKUP(AF24,'Tabelas SN'!$A$11:$J$16,8,FALSE),"-")</f>
        <v>-</v>
      </c>
      <c r="AG42" s="23" t="str">
        <f>IFERROR(AG40*VLOOKUP(AG24,'Tabelas SN'!$A$11:$J$16,8,FALSE),"-")</f>
        <v>-</v>
      </c>
      <c r="AH42" s="23" t="str">
        <f>IFERROR(AH40*VLOOKUP(AH24,'Tabelas SN'!$A$11:$J$16,8,FALSE),"-")</f>
        <v>-</v>
      </c>
      <c r="AI42" s="23" t="str">
        <f>IFERROR(AI40*VLOOKUP(AI24,'Tabelas SN'!$A$11:$J$16,8,FALSE),"-")</f>
        <v>-</v>
      </c>
      <c r="AJ42" s="23" t="str">
        <f>IFERROR(AJ40*VLOOKUP(AJ24,'Tabelas SN'!$A$11:$J$16,8,FALSE),"-")</f>
        <v>-</v>
      </c>
      <c r="AK42" s="23" t="str">
        <f>IFERROR(AK40*VLOOKUP(AK24,'Tabelas SN'!$A$11:$J$16,8,FALSE),"-")</f>
        <v>-</v>
      </c>
      <c r="AL42" s="23" t="str">
        <f>IFERROR(AL40*VLOOKUP(AL24,'Tabelas SN'!$A$11:$J$16,8,FALSE),"-")</f>
        <v>-</v>
      </c>
      <c r="AM42" s="23" t="str">
        <f>IFERROR(AM40*VLOOKUP(AM24,'Tabelas SN'!$A$11:$J$16,8,FALSE),"-")</f>
        <v>-</v>
      </c>
      <c r="AN42" s="23" t="str">
        <f>IFERROR(AN40*VLOOKUP(AN24,'Tabelas SN'!$A$11:$J$16,8,FALSE),"-")</f>
        <v>-</v>
      </c>
      <c r="AO42" s="23" t="str">
        <f>IFERROR(AO40*VLOOKUP(AO24,'Tabelas SN'!$A$11:$J$16,8,FALSE),"-")</f>
        <v>-</v>
      </c>
      <c r="AP42" s="23" t="str">
        <f>IFERROR(AP40*VLOOKUP(AP24,'Tabelas SN'!$A$11:$J$16,8,FALSE),"-")</f>
        <v>-</v>
      </c>
      <c r="AQ42" s="23" t="str">
        <f>IFERROR(AQ40*VLOOKUP(AQ24,'Tabelas SN'!$A$11:$J$16,8,FALSE),"-")</f>
        <v>-</v>
      </c>
      <c r="AR42" s="23" t="str">
        <f>IFERROR(AR40*VLOOKUP(AR24,'Tabelas SN'!$A$11:$J$16,8,FALSE),"-")</f>
        <v>-</v>
      </c>
      <c r="AS42" s="23" t="str">
        <f>IFERROR(AS40*VLOOKUP(AS24,'Tabelas SN'!$A$11:$J$16,8,FALSE),"-")</f>
        <v>-</v>
      </c>
      <c r="AT42" s="23" t="str">
        <f>IFERROR(AT40*VLOOKUP(AT24,'Tabelas SN'!$A$11:$J$16,8,FALSE),"-")</f>
        <v>-</v>
      </c>
      <c r="AU42" s="23" t="str">
        <f>IFERROR(AU40*VLOOKUP(AU24,'Tabelas SN'!$A$11:$J$16,8,FALSE),"-")</f>
        <v>-</v>
      </c>
      <c r="AV42" s="23" t="str">
        <f>IFERROR(AV40*VLOOKUP(AV24,'Tabelas SN'!$A$11:$J$16,8,FALSE),"-")</f>
        <v>-</v>
      </c>
      <c r="AW42" s="23" t="str">
        <f>IFERROR(AW40*VLOOKUP(AW24,'Tabelas SN'!$A$11:$J$16,8,FALSE),"-")</f>
        <v>-</v>
      </c>
      <c r="AX42" s="23" t="str">
        <f>IFERROR(AX40*VLOOKUP(AX24,'Tabelas SN'!$A$11:$J$16,8,FALSE),"-")</f>
        <v>-</v>
      </c>
      <c r="AY42" s="23" t="str">
        <f>IFERROR(AY40*VLOOKUP(AY24,'Tabelas SN'!$A$11:$J$16,8,FALSE),"-")</f>
        <v>-</v>
      </c>
      <c r="AZ42" s="23" t="str">
        <f>IFERROR(AZ40*VLOOKUP(AZ24,'Tabelas SN'!$A$11:$J$16,8,FALSE),"-")</f>
        <v>-</v>
      </c>
      <c r="BA42" s="23" t="str">
        <f>IFERROR(BA40*VLOOKUP(BA24,'Tabelas SN'!$A$11:$J$16,8,FALSE),"-")</f>
        <v>-</v>
      </c>
      <c r="BB42" s="23" t="str">
        <f>IFERROR(BB40*VLOOKUP(BB24,'Tabelas SN'!$A$11:$J$16,8,FALSE),"-")</f>
        <v>-</v>
      </c>
      <c r="BC42" s="23" t="str">
        <f>IFERROR(BC40*VLOOKUP(BC24,'Tabelas SN'!$A$11:$J$16,8,FALSE),"-")</f>
        <v>-</v>
      </c>
      <c r="BD42" s="23" t="str">
        <f>IFERROR(BD40*VLOOKUP(BD24,'Tabelas SN'!$A$11:$J$16,8,FALSE),"-")</f>
        <v>-</v>
      </c>
      <c r="BE42" s="23" t="str">
        <f>IFERROR(BE40*VLOOKUP(BE24,'Tabelas SN'!$A$11:$J$16,8,FALSE),"-")</f>
        <v>-</v>
      </c>
      <c r="BF42" s="23" t="str">
        <f>IFERROR(BF40*VLOOKUP(BF24,'Tabelas SN'!$A$11:$J$16,8,FALSE),"-")</f>
        <v>-</v>
      </c>
      <c r="BG42" s="23" t="str">
        <f>IFERROR(BG40*VLOOKUP(BG24,'Tabelas SN'!$A$11:$J$16,8,FALSE),"-")</f>
        <v>-</v>
      </c>
      <c r="BH42" s="23" t="str">
        <f>IFERROR(BH40*VLOOKUP(BH24,'Tabelas SN'!$A$11:$J$16,8,FALSE),"-")</f>
        <v>-</v>
      </c>
      <c r="BI42" s="23" t="str">
        <f>IFERROR(BI40*VLOOKUP(BI24,'Tabelas SN'!$A$11:$J$16,8,FALSE),"-")</f>
        <v>-</v>
      </c>
      <c r="BJ42" s="23" t="str">
        <f>IFERROR(BJ40*VLOOKUP(BJ24,'Tabelas SN'!$A$11:$J$16,8,FALSE),"-")</f>
        <v>-</v>
      </c>
      <c r="BK42" s="23" t="str">
        <f>IFERROR(BK40*VLOOKUP(BK24,'Tabelas SN'!$A$11:$J$16,8,FALSE),"-")</f>
        <v>-</v>
      </c>
      <c r="BL42" s="23" t="str">
        <f>IFERROR(BL40*VLOOKUP(BL24,'Tabelas SN'!$A$11:$J$16,8,FALSE),"-")</f>
        <v>-</v>
      </c>
      <c r="BM42" s="23" t="str">
        <f>IFERROR(BM40*VLOOKUP(BM24,'Tabelas SN'!$A$11:$J$16,8,FALSE),"-")</f>
        <v>-</v>
      </c>
      <c r="BO42" s="19" t="s">
        <v>67</v>
      </c>
    </row>
    <row r="43" spans="1:67" outlineLevel="1" x14ac:dyDescent="0.25">
      <c r="B43" s="4" t="s">
        <v>37</v>
      </c>
      <c r="C43" s="1" t="str">
        <f>IFERROR(C42*(C8+C9),"-")</f>
        <v>-</v>
      </c>
      <c r="D43" s="1" t="str">
        <f t="shared" ref="D43:AH43" si="76">IFERROR(D42*(D8+D9),"-")</f>
        <v>-</v>
      </c>
      <c r="E43" s="1" t="str">
        <f t="shared" si="76"/>
        <v>-</v>
      </c>
      <c r="F43" s="1" t="str">
        <f t="shared" si="76"/>
        <v>-</v>
      </c>
      <c r="G43" s="1" t="str">
        <f t="shared" si="76"/>
        <v>-</v>
      </c>
      <c r="H43" s="1" t="str">
        <f t="shared" si="76"/>
        <v>-</v>
      </c>
      <c r="I43" s="1" t="str">
        <f t="shared" si="76"/>
        <v>-</v>
      </c>
      <c r="J43" s="1" t="str">
        <f t="shared" si="76"/>
        <v>-</v>
      </c>
      <c r="K43" s="1" t="str">
        <f t="shared" si="76"/>
        <v>-</v>
      </c>
      <c r="L43" s="1" t="str">
        <f t="shared" si="76"/>
        <v>-</v>
      </c>
      <c r="M43" s="1" t="str">
        <f t="shared" si="76"/>
        <v>-</v>
      </c>
      <c r="N43" s="1" t="str">
        <f t="shared" si="76"/>
        <v>-</v>
      </c>
      <c r="O43" s="1" t="str">
        <f t="shared" si="76"/>
        <v>-</v>
      </c>
      <c r="P43" s="1" t="str">
        <f t="shared" si="76"/>
        <v>-</v>
      </c>
      <c r="Q43" s="1" t="str">
        <f t="shared" si="76"/>
        <v>-</v>
      </c>
      <c r="R43" s="1" t="str">
        <f t="shared" si="76"/>
        <v>-</v>
      </c>
      <c r="S43" s="1" t="str">
        <f t="shared" si="76"/>
        <v>-</v>
      </c>
      <c r="T43" s="1" t="str">
        <f t="shared" si="76"/>
        <v>-</v>
      </c>
      <c r="U43" s="1" t="str">
        <f t="shared" si="76"/>
        <v>-</v>
      </c>
      <c r="V43" s="1" t="str">
        <f t="shared" si="76"/>
        <v>-</v>
      </c>
      <c r="W43" s="1" t="str">
        <f t="shared" si="76"/>
        <v>-</v>
      </c>
      <c r="X43" s="1" t="str">
        <f t="shared" si="76"/>
        <v>-</v>
      </c>
      <c r="Y43" s="1" t="str">
        <f t="shared" si="76"/>
        <v>-</v>
      </c>
      <c r="Z43" s="1" t="str">
        <f t="shared" si="76"/>
        <v>-</v>
      </c>
      <c r="AA43" s="1" t="str">
        <f t="shared" si="76"/>
        <v>-</v>
      </c>
      <c r="AB43" s="1" t="str">
        <f t="shared" si="76"/>
        <v>-</v>
      </c>
      <c r="AC43" s="1" t="str">
        <f t="shared" si="76"/>
        <v>-</v>
      </c>
      <c r="AD43" s="1" t="str">
        <f t="shared" si="76"/>
        <v>-</v>
      </c>
      <c r="AE43" s="1" t="str">
        <f t="shared" si="76"/>
        <v>-</v>
      </c>
      <c r="AF43" s="1" t="str">
        <f t="shared" si="76"/>
        <v>-</v>
      </c>
      <c r="AG43" s="1" t="str">
        <f t="shared" si="76"/>
        <v>-</v>
      </c>
      <c r="AH43" s="1" t="str">
        <f t="shared" si="76"/>
        <v>-</v>
      </c>
      <c r="AI43" s="1" t="str">
        <f t="shared" ref="AI43:BM43" si="77">IFERROR(AI42*(AI8+AI9),"-")</f>
        <v>-</v>
      </c>
      <c r="AJ43" s="1" t="str">
        <f t="shared" si="77"/>
        <v>-</v>
      </c>
      <c r="AK43" s="1" t="str">
        <f t="shared" si="77"/>
        <v>-</v>
      </c>
      <c r="AL43" s="1" t="str">
        <f t="shared" si="77"/>
        <v>-</v>
      </c>
      <c r="AM43" s="1" t="str">
        <f t="shared" si="77"/>
        <v>-</v>
      </c>
      <c r="AN43" s="1" t="str">
        <f t="shared" si="77"/>
        <v>-</v>
      </c>
      <c r="AO43" s="1" t="str">
        <f t="shared" si="77"/>
        <v>-</v>
      </c>
      <c r="AP43" s="1" t="str">
        <f t="shared" si="77"/>
        <v>-</v>
      </c>
      <c r="AQ43" s="1" t="str">
        <f t="shared" si="77"/>
        <v>-</v>
      </c>
      <c r="AR43" s="1" t="str">
        <f t="shared" si="77"/>
        <v>-</v>
      </c>
      <c r="AS43" s="1" t="str">
        <f t="shared" si="77"/>
        <v>-</v>
      </c>
      <c r="AT43" s="1" t="str">
        <f t="shared" si="77"/>
        <v>-</v>
      </c>
      <c r="AU43" s="1" t="str">
        <f t="shared" si="77"/>
        <v>-</v>
      </c>
      <c r="AV43" s="1" t="str">
        <f t="shared" si="77"/>
        <v>-</v>
      </c>
      <c r="AW43" s="1" t="str">
        <f t="shared" si="77"/>
        <v>-</v>
      </c>
      <c r="AX43" s="1" t="str">
        <f t="shared" si="77"/>
        <v>-</v>
      </c>
      <c r="AY43" s="1" t="str">
        <f t="shared" si="77"/>
        <v>-</v>
      </c>
      <c r="AZ43" s="1" t="str">
        <f t="shared" si="77"/>
        <v>-</v>
      </c>
      <c r="BA43" s="1" t="str">
        <f t="shared" si="77"/>
        <v>-</v>
      </c>
      <c r="BB43" s="1" t="str">
        <f t="shared" si="77"/>
        <v>-</v>
      </c>
      <c r="BC43" s="1" t="str">
        <f t="shared" si="77"/>
        <v>-</v>
      </c>
      <c r="BD43" s="1" t="str">
        <f t="shared" si="77"/>
        <v>-</v>
      </c>
      <c r="BE43" s="1" t="str">
        <f t="shared" si="77"/>
        <v>-</v>
      </c>
      <c r="BF43" s="1" t="str">
        <f t="shared" si="77"/>
        <v>-</v>
      </c>
      <c r="BG43" s="1" t="str">
        <f t="shared" si="77"/>
        <v>-</v>
      </c>
      <c r="BH43" s="1" t="str">
        <f t="shared" si="77"/>
        <v>-</v>
      </c>
      <c r="BI43" s="1" t="str">
        <f t="shared" si="77"/>
        <v>-</v>
      </c>
      <c r="BJ43" s="1" t="str">
        <f t="shared" si="77"/>
        <v>-</v>
      </c>
      <c r="BK43" s="1" t="str">
        <f t="shared" si="77"/>
        <v>-</v>
      </c>
      <c r="BL43" s="1" t="str">
        <f t="shared" si="77"/>
        <v>-</v>
      </c>
      <c r="BM43" s="1" t="str">
        <f t="shared" si="77"/>
        <v>-</v>
      </c>
      <c r="BO43" s="19" t="s">
        <v>67</v>
      </c>
    </row>
    <row r="44" spans="1:67" s="19" customFormat="1" outlineLevel="1" x14ac:dyDescent="0.25">
      <c r="B44" s="18" t="s">
        <v>35</v>
      </c>
      <c r="C44" s="21" t="str">
        <f>IFERROR(C40*VLOOKUP(C24,'Tabelas SN'!$A$11:$J$16,10,FALSE),"-")</f>
        <v>-</v>
      </c>
      <c r="D44" s="21" t="str">
        <f>IFERROR(D40*VLOOKUP(D24,'Tabelas SN'!$A$11:$J$16,10,FALSE),"-")</f>
        <v>-</v>
      </c>
      <c r="E44" s="21" t="str">
        <f>IFERROR(E40*VLOOKUP(E24,'Tabelas SN'!$A$11:$J$16,10,FALSE),"-")</f>
        <v>-</v>
      </c>
      <c r="F44" s="21" t="str">
        <f>IFERROR(F40*VLOOKUP(F24,'Tabelas SN'!$A$11:$J$16,10,FALSE),"-")</f>
        <v>-</v>
      </c>
      <c r="G44" s="21" t="str">
        <f>IFERROR(G40*VLOOKUP(G24,'Tabelas SN'!$A$11:$J$16,10,FALSE),"-")</f>
        <v>-</v>
      </c>
      <c r="H44" s="21" t="str">
        <f>IFERROR(H40*VLOOKUP(H24,'Tabelas SN'!$A$11:$J$16,10,FALSE),"-")</f>
        <v>-</v>
      </c>
      <c r="I44" s="21" t="str">
        <f>IFERROR(I40*VLOOKUP(I24,'Tabelas SN'!$A$11:$J$16,10,FALSE),"-")</f>
        <v>-</v>
      </c>
      <c r="J44" s="21" t="str">
        <f>IFERROR(J40*VLOOKUP(J24,'Tabelas SN'!$A$11:$J$16,10,FALSE),"-")</f>
        <v>-</v>
      </c>
      <c r="K44" s="21" t="str">
        <f>IFERROR(K40*VLOOKUP(K24,'Tabelas SN'!$A$11:$J$16,10,FALSE),"-")</f>
        <v>-</v>
      </c>
      <c r="L44" s="21" t="str">
        <f>IFERROR(L40*VLOOKUP(L24,'Tabelas SN'!$A$11:$J$16,10,FALSE),"-")</f>
        <v>-</v>
      </c>
      <c r="M44" s="21" t="str">
        <f>IFERROR(M40*VLOOKUP(M24,'Tabelas SN'!$A$11:$J$16,10,FALSE),"-")</f>
        <v>-</v>
      </c>
      <c r="N44" s="21" t="str">
        <f>IFERROR(N40*VLOOKUP(N24,'Tabelas SN'!$A$11:$J$16,10,FALSE),"-")</f>
        <v>-</v>
      </c>
      <c r="O44" s="21" t="str">
        <f>IFERROR(O40*VLOOKUP(O24,'Tabelas SN'!$A$11:$J$16,10,FALSE),"-")</f>
        <v>-</v>
      </c>
      <c r="P44" s="21" t="str">
        <f>IFERROR(P40*VLOOKUP(P24,'Tabelas SN'!$A$11:$J$16,10,FALSE),"-")</f>
        <v>-</v>
      </c>
      <c r="Q44" s="21" t="str">
        <f>IFERROR(Q40*VLOOKUP(Q24,'Tabelas SN'!$A$11:$J$16,10,FALSE),"-")</f>
        <v>-</v>
      </c>
      <c r="R44" s="21" t="str">
        <f>IFERROR(R40*VLOOKUP(R24,'Tabelas SN'!$A$11:$J$16,10,FALSE),"-")</f>
        <v>-</v>
      </c>
      <c r="S44" s="21" t="str">
        <f>IFERROR(S40*VLOOKUP(S24,'Tabelas SN'!$A$11:$J$16,10,FALSE),"-")</f>
        <v>-</v>
      </c>
      <c r="T44" s="21" t="str">
        <f>IFERROR(T40*VLOOKUP(T24,'Tabelas SN'!$A$11:$J$16,10,FALSE),"-")</f>
        <v>-</v>
      </c>
      <c r="U44" s="21" t="str">
        <f>IFERROR(U40*VLOOKUP(U24,'Tabelas SN'!$A$11:$J$16,10,FALSE),"-")</f>
        <v>-</v>
      </c>
      <c r="V44" s="21" t="str">
        <f>IFERROR(V40*VLOOKUP(V24,'Tabelas SN'!$A$11:$J$16,10,FALSE),"-")</f>
        <v>-</v>
      </c>
      <c r="W44" s="21" t="str">
        <f>IFERROR(W40*VLOOKUP(W24,'Tabelas SN'!$A$11:$J$16,10,FALSE),"-")</f>
        <v>-</v>
      </c>
      <c r="X44" s="21" t="str">
        <f>IFERROR(X40*VLOOKUP(X24,'Tabelas SN'!$A$11:$J$16,10,FALSE),"-")</f>
        <v>-</v>
      </c>
      <c r="Y44" s="21" t="str">
        <f>IFERROR(Y40*VLOOKUP(Y24,'Tabelas SN'!$A$11:$J$16,10,FALSE),"-")</f>
        <v>-</v>
      </c>
      <c r="Z44" s="21" t="str">
        <f>IFERROR(Z40*VLOOKUP(Z24,'Tabelas SN'!$A$11:$J$16,10,FALSE),"-")</f>
        <v>-</v>
      </c>
      <c r="AA44" s="21" t="str">
        <f>IFERROR(AA40*VLOOKUP(AA24,'Tabelas SN'!$A$11:$J$16,10,FALSE),"-")</f>
        <v>-</v>
      </c>
      <c r="AB44" s="21" t="str">
        <f>IFERROR(AB40*VLOOKUP(AB24,'Tabelas SN'!$A$11:$J$16,10,FALSE),"-")</f>
        <v>-</v>
      </c>
      <c r="AC44" s="21" t="str">
        <f>IFERROR(AC40*VLOOKUP(AC24,'Tabelas SN'!$A$11:$J$16,10,FALSE),"-")</f>
        <v>-</v>
      </c>
      <c r="AD44" s="21" t="str">
        <f>IFERROR(AD40*VLOOKUP(AD24,'Tabelas SN'!$A$11:$J$16,10,FALSE),"-")</f>
        <v>-</v>
      </c>
      <c r="AE44" s="21" t="str">
        <f>IFERROR(AE40*VLOOKUP(AE24,'Tabelas SN'!$A$11:$J$16,10,FALSE),"-")</f>
        <v>-</v>
      </c>
      <c r="AF44" s="21" t="str">
        <f>IFERROR(AF40*VLOOKUP(AF24,'Tabelas SN'!$A$11:$J$16,10,FALSE),"-")</f>
        <v>-</v>
      </c>
      <c r="AG44" s="21" t="str">
        <f>IFERROR(AG40*VLOOKUP(AG24,'Tabelas SN'!$A$11:$J$16,10,FALSE),"-")</f>
        <v>-</v>
      </c>
      <c r="AH44" s="21" t="str">
        <f>IFERROR(AH40*VLOOKUP(AH24,'Tabelas SN'!$A$11:$J$16,10,FALSE),"-")</f>
        <v>-</v>
      </c>
      <c r="AI44" s="21" t="str">
        <f>IFERROR(AI40*VLOOKUP(AI24,'Tabelas SN'!$A$11:$J$16,10,FALSE),"-")</f>
        <v>-</v>
      </c>
      <c r="AJ44" s="21" t="str">
        <f>IFERROR(AJ40*VLOOKUP(AJ24,'Tabelas SN'!$A$11:$J$16,10,FALSE),"-")</f>
        <v>-</v>
      </c>
      <c r="AK44" s="21" t="str">
        <f>IFERROR(AK40*VLOOKUP(AK24,'Tabelas SN'!$A$11:$J$16,10,FALSE),"-")</f>
        <v>-</v>
      </c>
      <c r="AL44" s="21" t="str">
        <f>IFERROR(AL40*VLOOKUP(AL24,'Tabelas SN'!$A$11:$J$16,10,FALSE),"-")</f>
        <v>-</v>
      </c>
      <c r="AM44" s="21" t="str">
        <f>IFERROR(AM40*VLOOKUP(AM24,'Tabelas SN'!$A$11:$J$16,10,FALSE),"-")</f>
        <v>-</v>
      </c>
      <c r="AN44" s="21" t="str">
        <f>IFERROR(AN40*VLOOKUP(AN24,'Tabelas SN'!$A$11:$J$16,10,FALSE),"-")</f>
        <v>-</v>
      </c>
      <c r="AO44" s="21" t="str">
        <f>IFERROR(AO40*VLOOKUP(AO24,'Tabelas SN'!$A$11:$J$16,10,FALSE),"-")</f>
        <v>-</v>
      </c>
      <c r="AP44" s="21" t="str">
        <f>IFERROR(AP40*VLOOKUP(AP24,'Tabelas SN'!$A$11:$J$16,10,FALSE),"-")</f>
        <v>-</v>
      </c>
      <c r="AQ44" s="21" t="str">
        <f>IFERROR(AQ40*VLOOKUP(AQ24,'Tabelas SN'!$A$11:$J$16,10,FALSE),"-")</f>
        <v>-</v>
      </c>
      <c r="AR44" s="21" t="str">
        <f>IFERROR(AR40*VLOOKUP(AR24,'Tabelas SN'!$A$11:$J$16,10,FALSE),"-")</f>
        <v>-</v>
      </c>
      <c r="AS44" s="21" t="str">
        <f>IFERROR(AS40*VLOOKUP(AS24,'Tabelas SN'!$A$11:$J$16,10,FALSE),"-")</f>
        <v>-</v>
      </c>
      <c r="AT44" s="21" t="str">
        <f>IFERROR(AT40*VLOOKUP(AT24,'Tabelas SN'!$A$11:$J$16,10,FALSE),"-")</f>
        <v>-</v>
      </c>
      <c r="AU44" s="21" t="str">
        <f>IFERROR(AU40*VLOOKUP(AU24,'Tabelas SN'!$A$11:$J$16,10,FALSE),"-")</f>
        <v>-</v>
      </c>
      <c r="AV44" s="21" t="str">
        <f>IFERROR(AV40*VLOOKUP(AV24,'Tabelas SN'!$A$11:$J$16,10,FALSE),"-")</f>
        <v>-</v>
      </c>
      <c r="AW44" s="21" t="str">
        <f>IFERROR(AW40*VLOOKUP(AW24,'Tabelas SN'!$A$11:$J$16,10,FALSE),"-")</f>
        <v>-</v>
      </c>
      <c r="AX44" s="21" t="str">
        <f>IFERROR(AX40*VLOOKUP(AX24,'Tabelas SN'!$A$11:$J$16,10,FALSE),"-")</f>
        <v>-</v>
      </c>
      <c r="AY44" s="21" t="str">
        <f>IFERROR(AY40*VLOOKUP(AY24,'Tabelas SN'!$A$11:$J$16,10,FALSE),"-")</f>
        <v>-</v>
      </c>
      <c r="AZ44" s="21" t="str">
        <f>IFERROR(AZ40*VLOOKUP(AZ24,'Tabelas SN'!$A$11:$J$16,10,FALSE),"-")</f>
        <v>-</v>
      </c>
      <c r="BA44" s="21" t="str">
        <f>IFERROR(BA40*VLOOKUP(BA24,'Tabelas SN'!$A$11:$J$16,10,FALSE),"-")</f>
        <v>-</v>
      </c>
      <c r="BB44" s="21" t="str">
        <f>IFERROR(BB40*VLOOKUP(BB24,'Tabelas SN'!$A$11:$J$16,10,FALSE),"-")</f>
        <v>-</v>
      </c>
      <c r="BC44" s="21" t="str">
        <f>IFERROR(BC40*VLOOKUP(BC24,'Tabelas SN'!$A$11:$J$16,10,FALSE),"-")</f>
        <v>-</v>
      </c>
      <c r="BD44" s="21" t="str">
        <f>IFERROR(BD40*VLOOKUP(BD24,'Tabelas SN'!$A$11:$J$16,10,FALSE),"-")</f>
        <v>-</v>
      </c>
      <c r="BE44" s="21" t="str">
        <f>IFERROR(BE40*VLOOKUP(BE24,'Tabelas SN'!$A$11:$J$16,10,FALSE),"-")</f>
        <v>-</v>
      </c>
      <c r="BF44" s="21" t="str">
        <f>IFERROR(BF40*VLOOKUP(BF24,'Tabelas SN'!$A$11:$J$16,10,FALSE),"-")</f>
        <v>-</v>
      </c>
      <c r="BG44" s="21" t="str">
        <f>IFERROR(BG40*VLOOKUP(BG24,'Tabelas SN'!$A$11:$J$16,10,FALSE),"-")</f>
        <v>-</v>
      </c>
      <c r="BH44" s="21" t="str">
        <f>IFERROR(BH40*VLOOKUP(BH24,'Tabelas SN'!$A$11:$J$16,10,FALSE),"-")</f>
        <v>-</v>
      </c>
      <c r="BI44" s="21" t="str">
        <f>IFERROR(BI40*VLOOKUP(BI24,'Tabelas SN'!$A$11:$J$16,10,FALSE),"-")</f>
        <v>-</v>
      </c>
      <c r="BJ44" s="21" t="str">
        <f>IFERROR(BJ40*VLOOKUP(BJ24,'Tabelas SN'!$A$11:$J$16,10,FALSE),"-")</f>
        <v>-</v>
      </c>
      <c r="BK44" s="21" t="str">
        <f>IFERROR(BK40*VLOOKUP(BK24,'Tabelas SN'!$A$11:$J$16,10,FALSE),"-")</f>
        <v>-</v>
      </c>
      <c r="BL44" s="21" t="str">
        <f>IFERROR(BL40*VLOOKUP(BL24,'Tabelas SN'!$A$11:$J$16,10,FALSE),"-")</f>
        <v>-</v>
      </c>
      <c r="BM44" s="21" t="str">
        <f>IFERROR(BM40*VLOOKUP(BM24,'Tabelas SN'!$A$11:$J$16,10,FALSE),"-")</f>
        <v>-</v>
      </c>
      <c r="BO44" s="19" t="s">
        <v>67</v>
      </c>
    </row>
    <row r="45" spans="1:67" outlineLevel="1" x14ac:dyDescent="0.25">
      <c r="B45" s="4" t="s">
        <v>36</v>
      </c>
      <c r="C45" s="1" t="str">
        <f t="shared" ref="C45:AH45" si="78">IFERROR(C11*C44,"-")</f>
        <v>-</v>
      </c>
      <c r="D45" s="1" t="str">
        <f t="shared" si="78"/>
        <v>-</v>
      </c>
      <c r="E45" s="1" t="str">
        <f t="shared" si="78"/>
        <v>-</v>
      </c>
      <c r="F45" s="1" t="str">
        <f t="shared" si="78"/>
        <v>-</v>
      </c>
      <c r="G45" s="1" t="str">
        <f t="shared" si="78"/>
        <v>-</v>
      </c>
      <c r="H45" s="1" t="str">
        <f t="shared" si="78"/>
        <v>-</v>
      </c>
      <c r="I45" s="1" t="str">
        <f t="shared" si="78"/>
        <v>-</v>
      </c>
      <c r="J45" s="1" t="str">
        <f t="shared" si="78"/>
        <v>-</v>
      </c>
      <c r="K45" s="1" t="str">
        <f t="shared" si="78"/>
        <v>-</v>
      </c>
      <c r="L45" s="1" t="str">
        <f t="shared" si="78"/>
        <v>-</v>
      </c>
      <c r="M45" s="1" t="str">
        <f t="shared" si="78"/>
        <v>-</v>
      </c>
      <c r="N45" s="1" t="str">
        <f t="shared" si="78"/>
        <v>-</v>
      </c>
      <c r="O45" s="1" t="str">
        <f t="shared" si="78"/>
        <v>-</v>
      </c>
      <c r="P45" s="1" t="str">
        <f t="shared" si="78"/>
        <v>-</v>
      </c>
      <c r="Q45" s="1" t="str">
        <f t="shared" si="78"/>
        <v>-</v>
      </c>
      <c r="R45" s="1" t="str">
        <f t="shared" si="78"/>
        <v>-</v>
      </c>
      <c r="S45" s="1" t="str">
        <f t="shared" si="78"/>
        <v>-</v>
      </c>
      <c r="T45" s="1" t="str">
        <f t="shared" si="78"/>
        <v>-</v>
      </c>
      <c r="U45" s="1" t="str">
        <f t="shared" si="78"/>
        <v>-</v>
      </c>
      <c r="V45" s="1" t="str">
        <f t="shared" si="78"/>
        <v>-</v>
      </c>
      <c r="W45" s="1" t="str">
        <f t="shared" si="78"/>
        <v>-</v>
      </c>
      <c r="X45" s="1" t="str">
        <f t="shared" si="78"/>
        <v>-</v>
      </c>
      <c r="Y45" s="1" t="str">
        <f t="shared" si="78"/>
        <v>-</v>
      </c>
      <c r="Z45" s="1" t="str">
        <f t="shared" si="78"/>
        <v>-</v>
      </c>
      <c r="AA45" s="1" t="str">
        <f t="shared" si="78"/>
        <v>-</v>
      </c>
      <c r="AB45" s="1" t="str">
        <f t="shared" si="78"/>
        <v>-</v>
      </c>
      <c r="AC45" s="1" t="str">
        <f t="shared" si="78"/>
        <v>-</v>
      </c>
      <c r="AD45" s="1" t="str">
        <f>IFERROR(AD11*AD44,"-")</f>
        <v>-</v>
      </c>
      <c r="AE45" s="1" t="str">
        <f t="shared" si="78"/>
        <v>-</v>
      </c>
      <c r="AF45" s="1" t="str">
        <f t="shared" si="78"/>
        <v>-</v>
      </c>
      <c r="AG45" s="1" t="str">
        <f t="shared" si="78"/>
        <v>-</v>
      </c>
      <c r="AH45" s="1" t="str">
        <f t="shared" si="78"/>
        <v>-</v>
      </c>
      <c r="AI45" s="1" t="str">
        <f t="shared" ref="AI45:BM45" si="79">IFERROR(AI11*AI44,"-")</f>
        <v>-</v>
      </c>
      <c r="AJ45" s="1" t="str">
        <f t="shared" si="79"/>
        <v>-</v>
      </c>
      <c r="AK45" s="1" t="str">
        <f t="shared" si="79"/>
        <v>-</v>
      </c>
      <c r="AL45" s="1" t="str">
        <f t="shared" si="79"/>
        <v>-</v>
      </c>
      <c r="AM45" s="1" t="str">
        <f t="shared" si="79"/>
        <v>-</v>
      </c>
      <c r="AN45" s="1" t="str">
        <f t="shared" si="79"/>
        <v>-</v>
      </c>
      <c r="AO45" s="1" t="str">
        <f t="shared" si="79"/>
        <v>-</v>
      </c>
      <c r="AP45" s="1" t="str">
        <f t="shared" si="79"/>
        <v>-</v>
      </c>
      <c r="AQ45" s="1" t="str">
        <f t="shared" si="79"/>
        <v>-</v>
      </c>
      <c r="AR45" s="1" t="str">
        <f t="shared" si="79"/>
        <v>-</v>
      </c>
      <c r="AS45" s="1" t="str">
        <f t="shared" si="79"/>
        <v>-</v>
      </c>
      <c r="AT45" s="1" t="str">
        <f t="shared" si="79"/>
        <v>-</v>
      </c>
      <c r="AU45" s="1" t="str">
        <f t="shared" si="79"/>
        <v>-</v>
      </c>
      <c r="AV45" s="1" t="str">
        <f t="shared" si="79"/>
        <v>-</v>
      </c>
      <c r="AW45" s="1" t="str">
        <f t="shared" si="79"/>
        <v>-</v>
      </c>
      <c r="AX45" s="1" t="str">
        <f t="shared" si="79"/>
        <v>-</v>
      </c>
      <c r="AY45" s="1" t="str">
        <f t="shared" si="79"/>
        <v>-</v>
      </c>
      <c r="AZ45" s="1" t="str">
        <f t="shared" si="79"/>
        <v>-</v>
      </c>
      <c r="BA45" s="1" t="str">
        <f t="shared" si="79"/>
        <v>-</v>
      </c>
      <c r="BB45" s="1" t="str">
        <f t="shared" si="79"/>
        <v>-</v>
      </c>
      <c r="BC45" s="1" t="str">
        <f t="shared" si="79"/>
        <v>-</v>
      </c>
      <c r="BD45" s="1" t="str">
        <f t="shared" si="79"/>
        <v>-</v>
      </c>
      <c r="BE45" s="1" t="str">
        <f t="shared" si="79"/>
        <v>-</v>
      </c>
      <c r="BF45" s="1" t="str">
        <f t="shared" si="79"/>
        <v>-</v>
      </c>
      <c r="BG45" s="1" t="str">
        <f t="shared" si="79"/>
        <v>-</v>
      </c>
      <c r="BH45" s="1" t="str">
        <f t="shared" si="79"/>
        <v>-</v>
      </c>
      <c r="BI45" s="1" t="str">
        <f t="shared" si="79"/>
        <v>-</v>
      </c>
      <c r="BJ45" s="1" t="str">
        <f t="shared" si="79"/>
        <v>-</v>
      </c>
      <c r="BK45" s="1" t="str">
        <f t="shared" si="79"/>
        <v>-</v>
      </c>
      <c r="BL45" s="1" t="str">
        <f t="shared" si="79"/>
        <v>-</v>
      </c>
      <c r="BM45" s="1" t="str">
        <f t="shared" si="79"/>
        <v>-</v>
      </c>
      <c r="BO45" s="19" t="s">
        <v>67</v>
      </c>
    </row>
    <row r="46" spans="1:67" s="19" customFormat="1" outlineLevel="1" x14ac:dyDescent="0.25">
      <c r="B46" s="18" t="s">
        <v>39</v>
      </c>
      <c r="C46" s="21" t="str">
        <f>IFERROR(C40*VLOOKUP(C24,'Tabelas SN'!$A$11:$J$16,9,FALSE),"-")</f>
        <v>-</v>
      </c>
      <c r="D46" s="21" t="str">
        <f>IFERROR(D40*VLOOKUP(D24,'Tabelas SN'!$A$11:$J$16,9,FALSE),"-")</f>
        <v>-</v>
      </c>
      <c r="E46" s="21" t="str">
        <f>IFERROR(E40*VLOOKUP(E24,'Tabelas SN'!$A$11:$J$16,9,FALSE),"-")</f>
        <v>-</v>
      </c>
      <c r="F46" s="21" t="str">
        <f>IFERROR(F40*VLOOKUP(F24,'Tabelas SN'!$A$11:$J$16,9,FALSE),"-")</f>
        <v>-</v>
      </c>
      <c r="G46" s="21" t="str">
        <f>IFERROR(G40*VLOOKUP(G24,'Tabelas SN'!$A$11:$J$16,9,FALSE),"-")</f>
        <v>-</v>
      </c>
      <c r="H46" s="21" t="str">
        <f>IFERROR(H40*VLOOKUP(H24,'Tabelas SN'!$A$11:$J$16,9,FALSE),"-")</f>
        <v>-</v>
      </c>
      <c r="I46" s="21" t="str">
        <f>IFERROR(I40*VLOOKUP(I24,'Tabelas SN'!$A$11:$J$16,9,FALSE),"-")</f>
        <v>-</v>
      </c>
      <c r="J46" s="21" t="str">
        <f>IFERROR(J40*VLOOKUP(J24,'Tabelas SN'!$A$11:$J$16,9,FALSE),"-")</f>
        <v>-</v>
      </c>
      <c r="K46" s="21" t="str">
        <f>IFERROR(K40*VLOOKUP(K24,'Tabelas SN'!$A$11:$J$16,9,FALSE),"-")</f>
        <v>-</v>
      </c>
      <c r="L46" s="21" t="str">
        <f>IFERROR(L40*VLOOKUP(L24,'Tabelas SN'!$A$11:$J$16,9,FALSE),"-")</f>
        <v>-</v>
      </c>
      <c r="M46" s="21" t="str">
        <f>IFERROR(M40*VLOOKUP(M24,'Tabelas SN'!$A$11:$J$16,9,FALSE),"-")</f>
        <v>-</v>
      </c>
      <c r="N46" s="21" t="str">
        <f>IFERROR(N40*VLOOKUP(N24,'Tabelas SN'!$A$11:$J$16,9,FALSE),"-")</f>
        <v>-</v>
      </c>
      <c r="O46" s="21" t="str">
        <f>IFERROR(O40*VLOOKUP(O24,'Tabelas SN'!$A$11:$J$16,9,FALSE),"-")</f>
        <v>-</v>
      </c>
      <c r="P46" s="21" t="str">
        <f>IFERROR(P40*VLOOKUP(P24,'Tabelas SN'!$A$11:$J$16,9,FALSE),"-")</f>
        <v>-</v>
      </c>
      <c r="Q46" s="21" t="str">
        <f>IFERROR(Q40*VLOOKUP(Q24,'Tabelas SN'!$A$11:$J$16,9,FALSE),"-")</f>
        <v>-</v>
      </c>
      <c r="R46" s="21" t="str">
        <f>IFERROR(R40*VLOOKUP(R24,'Tabelas SN'!$A$11:$J$16,9,FALSE),"-")</f>
        <v>-</v>
      </c>
      <c r="S46" s="21" t="str">
        <f>IFERROR(S40*VLOOKUP(S24,'Tabelas SN'!$A$11:$J$16,9,FALSE),"-")</f>
        <v>-</v>
      </c>
      <c r="T46" s="21" t="str">
        <f>IFERROR(T40*VLOOKUP(T24,'Tabelas SN'!$A$11:$J$16,9,FALSE),"-")</f>
        <v>-</v>
      </c>
      <c r="U46" s="21" t="str">
        <f>IFERROR(U40*VLOOKUP(U24,'Tabelas SN'!$A$11:$J$16,9,FALSE),"-")</f>
        <v>-</v>
      </c>
      <c r="V46" s="21" t="str">
        <f>IFERROR(V40*VLOOKUP(V24,'Tabelas SN'!$A$11:$J$16,9,FALSE),"-")</f>
        <v>-</v>
      </c>
      <c r="W46" s="21" t="str">
        <f>IFERROR(W40*VLOOKUP(W24,'Tabelas SN'!$A$11:$J$16,9,FALSE),"-")</f>
        <v>-</v>
      </c>
      <c r="X46" s="21" t="str">
        <f>IFERROR(X40*VLOOKUP(X24,'Tabelas SN'!$A$11:$J$16,9,FALSE),"-")</f>
        <v>-</v>
      </c>
      <c r="Y46" s="21" t="str">
        <f>IFERROR(Y40*VLOOKUP(Y24,'Tabelas SN'!$A$11:$J$16,9,FALSE),"-")</f>
        <v>-</v>
      </c>
      <c r="Z46" s="21" t="str">
        <f>IFERROR(Z40*VLOOKUP(Z24,'Tabelas SN'!$A$11:$J$16,9,FALSE),"-")</f>
        <v>-</v>
      </c>
      <c r="AA46" s="21" t="str">
        <f>IFERROR(AA40*VLOOKUP(AA24,'Tabelas SN'!$A$11:$J$16,9,FALSE),"-")</f>
        <v>-</v>
      </c>
      <c r="AB46" s="21" t="str">
        <f>IFERROR(AB40*VLOOKUP(AB24,'Tabelas SN'!$A$11:$J$16,9,FALSE),"-")</f>
        <v>-</v>
      </c>
      <c r="AC46" s="21" t="str">
        <f>IFERROR(AC40*VLOOKUP(AC24,'Tabelas SN'!$A$11:$J$16,9,FALSE),"-")</f>
        <v>-</v>
      </c>
      <c r="AD46" s="21" t="str">
        <f>IFERROR(AD40*VLOOKUP(AD24,'Tabelas SN'!$A$11:$J$16,9,FALSE),"-")</f>
        <v>-</v>
      </c>
      <c r="AE46" s="21" t="str">
        <f>IFERROR(AE40*VLOOKUP(AE24,'Tabelas SN'!$A$11:$J$16,9,FALSE),"-")</f>
        <v>-</v>
      </c>
      <c r="AF46" s="21" t="str">
        <f>IFERROR(AF40*VLOOKUP(AF24,'Tabelas SN'!$A$11:$J$16,9,FALSE),"-")</f>
        <v>-</v>
      </c>
      <c r="AG46" s="21" t="str">
        <f>IFERROR(AG40*VLOOKUP(AG24,'Tabelas SN'!$A$11:$J$16,9,FALSE),"-")</f>
        <v>-</v>
      </c>
      <c r="AH46" s="21" t="str">
        <f>IFERROR(AH40*VLOOKUP(AH24,'Tabelas SN'!$A$11:$J$16,9,FALSE),"-")</f>
        <v>-</v>
      </c>
      <c r="AI46" s="21" t="str">
        <f>IFERROR(AI40*VLOOKUP(AI24,'Tabelas SN'!$A$11:$J$16,9,FALSE),"-")</f>
        <v>-</v>
      </c>
      <c r="AJ46" s="21" t="str">
        <f>IFERROR(AJ40*VLOOKUP(AJ24,'Tabelas SN'!$A$11:$J$16,9,FALSE),"-")</f>
        <v>-</v>
      </c>
      <c r="AK46" s="21" t="str">
        <f>IFERROR(AK40*VLOOKUP(AK24,'Tabelas SN'!$A$11:$J$16,9,FALSE),"-")</f>
        <v>-</v>
      </c>
      <c r="AL46" s="21" t="str">
        <f>IFERROR(AL40*VLOOKUP(AL24,'Tabelas SN'!$A$11:$J$16,9,FALSE),"-")</f>
        <v>-</v>
      </c>
      <c r="AM46" s="21" t="str">
        <f>IFERROR(AM40*VLOOKUP(AM24,'Tabelas SN'!$A$11:$J$16,9,FALSE),"-")</f>
        <v>-</v>
      </c>
      <c r="AN46" s="21" t="str">
        <f>IFERROR(AN40*VLOOKUP(AN24,'Tabelas SN'!$A$11:$J$16,9,FALSE),"-")</f>
        <v>-</v>
      </c>
      <c r="AO46" s="21" t="str">
        <f>IFERROR(AO40*VLOOKUP(AO24,'Tabelas SN'!$A$11:$J$16,9,FALSE),"-")</f>
        <v>-</v>
      </c>
      <c r="AP46" s="21" t="str">
        <f>IFERROR(AP40*VLOOKUP(AP24,'Tabelas SN'!$A$11:$J$16,9,FALSE),"-")</f>
        <v>-</v>
      </c>
      <c r="AQ46" s="21" t="str">
        <f>IFERROR(AQ40*VLOOKUP(AQ24,'Tabelas SN'!$A$11:$J$16,9,FALSE),"-")</f>
        <v>-</v>
      </c>
      <c r="AR46" s="21" t="str">
        <f>IFERROR(AR40*VLOOKUP(AR24,'Tabelas SN'!$A$11:$J$16,9,FALSE),"-")</f>
        <v>-</v>
      </c>
      <c r="AS46" s="21" t="str">
        <f>IFERROR(AS40*VLOOKUP(AS24,'Tabelas SN'!$A$11:$J$16,9,FALSE),"-")</f>
        <v>-</v>
      </c>
      <c r="AT46" s="21" t="str">
        <f>IFERROR(AT40*VLOOKUP(AT24,'Tabelas SN'!$A$11:$J$16,9,FALSE),"-")</f>
        <v>-</v>
      </c>
      <c r="AU46" s="21" t="str">
        <f>IFERROR(AU40*VLOOKUP(AU24,'Tabelas SN'!$A$11:$J$16,9,FALSE),"-")</f>
        <v>-</v>
      </c>
      <c r="AV46" s="21" t="str">
        <f>IFERROR(AV40*VLOOKUP(AV24,'Tabelas SN'!$A$11:$J$16,9,FALSE),"-")</f>
        <v>-</v>
      </c>
      <c r="AW46" s="21" t="str">
        <f>IFERROR(AW40*VLOOKUP(AW24,'Tabelas SN'!$A$11:$J$16,9,FALSE),"-")</f>
        <v>-</v>
      </c>
      <c r="AX46" s="21" t="str">
        <f>IFERROR(AX40*VLOOKUP(AX24,'Tabelas SN'!$A$11:$J$16,9,FALSE),"-")</f>
        <v>-</v>
      </c>
      <c r="AY46" s="21" t="str">
        <f>IFERROR(AY40*VLOOKUP(AY24,'Tabelas SN'!$A$11:$J$16,9,FALSE),"-")</f>
        <v>-</v>
      </c>
      <c r="AZ46" s="21" t="str">
        <f>IFERROR(AZ40*VLOOKUP(AZ24,'Tabelas SN'!$A$11:$J$16,9,FALSE),"-")</f>
        <v>-</v>
      </c>
      <c r="BA46" s="21" t="str">
        <f>IFERROR(BA40*VLOOKUP(BA24,'Tabelas SN'!$A$11:$J$16,9,FALSE),"-")</f>
        <v>-</v>
      </c>
      <c r="BB46" s="21" t="str">
        <f>IFERROR(BB40*VLOOKUP(BB24,'Tabelas SN'!$A$11:$J$16,9,FALSE),"-")</f>
        <v>-</v>
      </c>
      <c r="BC46" s="21" t="str">
        <f>IFERROR(BC40*VLOOKUP(BC24,'Tabelas SN'!$A$11:$J$16,9,FALSE),"-")</f>
        <v>-</v>
      </c>
      <c r="BD46" s="21" t="str">
        <f>IFERROR(BD40*VLOOKUP(BD24,'Tabelas SN'!$A$11:$J$16,9,FALSE),"-")</f>
        <v>-</v>
      </c>
      <c r="BE46" s="21" t="str">
        <f>IFERROR(BE40*VLOOKUP(BE24,'Tabelas SN'!$A$11:$J$16,9,FALSE),"-")</f>
        <v>-</v>
      </c>
      <c r="BF46" s="21" t="str">
        <f>IFERROR(BF40*VLOOKUP(BF24,'Tabelas SN'!$A$11:$J$16,9,FALSE),"-")</f>
        <v>-</v>
      </c>
      <c r="BG46" s="21" t="str">
        <f>IFERROR(BG40*VLOOKUP(BG24,'Tabelas SN'!$A$11:$J$16,9,FALSE),"-")</f>
        <v>-</v>
      </c>
      <c r="BH46" s="21" t="str">
        <f>IFERROR(BH40*VLOOKUP(BH24,'Tabelas SN'!$A$11:$J$16,9,FALSE),"-")</f>
        <v>-</v>
      </c>
      <c r="BI46" s="21" t="str">
        <f>IFERROR(BI40*VLOOKUP(BI24,'Tabelas SN'!$A$11:$J$16,9,FALSE),"-")</f>
        <v>-</v>
      </c>
      <c r="BJ46" s="21" t="str">
        <f>IFERROR(BJ40*VLOOKUP(BJ24,'Tabelas SN'!$A$11:$J$16,9,FALSE),"-")</f>
        <v>-</v>
      </c>
      <c r="BK46" s="21" t="str">
        <f>IFERROR(BK40*VLOOKUP(BK24,'Tabelas SN'!$A$11:$J$16,9,FALSE),"-")</f>
        <v>-</v>
      </c>
      <c r="BL46" s="21" t="str">
        <f>IFERROR(BL40*VLOOKUP(BL24,'Tabelas SN'!$A$11:$J$16,9,FALSE),"-")</f>
        <v>-</v>
      </c>
      <c r="BM46" s="21" t="str">
        <f>IFERROR(BM40*VLOOKUP(BM24,'Tabelas SN'!$A$11:$J$16,9,FALSE),"-")</f>
        <v>-</v>
      </c>
      <c r="BO46" s="19" t="s">
        <v>67</v>
      </c>
    </row>
    <row r="47" spans="1:67" outlineLevel="1" x14ac:dyDescent="0.25">
      <c r="B47" s="4" t="s">
        <v>40</v>
      </c>
      <c r="C47" t="str">
        <f>IFERROR(C10*C46,"-")</f>
        <v>-</v>
      </c>
      <c r="D47" t="str">
        <f t="shared" ref="D47:BM47" si="80">IFERROR(D10*D46,"-")</f>
        <v>-</v>
      </c>
      <c r="E47" t="str">
        <f t="shared" si="80"/>
        <v>-</v>
      </c>
      <c r="F47" t="str">
        <f t="shared" si="80"/>
        <v>-</v>
      </c>
      <c r="G47" t="str">
        <f t="shared" si="80"/>
        <v>-</v>
      </c>
      <c r="H47" t="str">
        <f t="shared" si="80"/>
        <v>-</v>
      </c>
      <c r="I47" t="str">
        <f t="shared" si="80"/>
        <v>-</v>
      </c>
      <c r="J47" t="str">
        <f t="shared" si="80"/>
        <v>-</v>
      </c>
      <c r="K47" t="str">
        <f t="shared" si="80"/>
        <v>-</v>
      </c>
      <c r="L47" t="str">
        <f t="shared" si="80"/>
        <v>-</v>
      </c>
      <c r="M47" t="str">
        <f t="shared" si="80"/>
        <v>-</v>
      </c>
      <c r="N47" t="str">
        <f t="shared" si="80"/>
        <v>-</v>
      </c>
      <c r="O47" t="str">
        <f t="shared" si="80"/>
        <v>-</v>
      </c>
      <c r="P47" t="str">
        <f t="shared" si="80"/>
        <v>-</v>
      </c>
      <c r="Q47" t="str">
        <f t="shared" si="80"/>
        <v>-</v>
      </c>
      <c r="R47" t="str">
        <f t="shared" si="80"/>
        <v>-</v>
      </c>
      <c r="S47" t="str">
        <f t="shared" si="80"/>
        <v>-</v>
      </c>
      <c r="T47" t="str">
        <f t="shared" si="80"/>
        <v>-</v>
      </c>
      <c r="U47" t="str">
        <f t="shared" si="80"/>
        <v>-</v>
      </c>
      <c r="V47" t="str">
        <f t="shared" si="80"/>
        <v>-</v>
      </c>
      <c r="W47" t="str">
        <f t="shared" si="80"/>
        <v>-</v>
      </c>
      <c r="X47" t="str">
        <f t="shared" si="80"/>
        <v>-</v>
      </c>
      <c r="Y47" t="str">
        <f t="shared" si="80"/>
        <v>-</v>
      </c>
      <c r="Z47" t="str">
        <f t="shared" si="80"/>
        <v>-</v>
      </c>
      <c r="AA47" t="str">
        <f t="shared" si="80"/>
        <v>-</v>
      </c>
      <c r="AB47" t="str">
        <f t="shared" si="80"/>
        <v>-</v>
      </c>
      <c r="AC47" t="str">
        <f t="shared" si="80"/>
        <v>-</v>
      </c>
      <c r="AD47" t="str">
        <f>IFERROR(AD10*AD46,"-")</f>
        <v>-</v>
      </c>
      <c r="AE47" t="str">
        <f t="shared" si="80"/>
        <v>-</v>
      </c>
      <c r="AF47" t="str">
        <f t="shared" si="80"/>
        <v>-</v>
      </c>
      <c r="AG47" t="str">
        <f t="shared" si="80"/>
        <v>-</v>
      </c>
      <c r="AH47" t="str">
        <f t="shared" si="80"/>
        <v>-</v>
      </c>
      <c r="AI47" t="str">
        <f t="shared" si="80"/>
        <v>-</v>
      </c>
      <c r="AJ47" t="str">
        <f t="shared" si="80"/>
        <v>-</v>
      </c>
      <c r="AK47" t="str">
        <f t="shared" si="80"/>
        <v>-</v>
      </c>
      <c r="AL47" t="str">
        <f t="shared" si="80"/>
        <v>-</v>
      </c>
      <c r="AM47" t="str">
        <f t="shared" si="80"/>
        <v>-</v>
      </c>
      <c r="AN47" t="str">
        <f t="shared" si="80"/>
        <v>-</v>
      </c>
      <c r="AO47" t="str">
        <f t="shared" si="80"/>
        <v>-</v>
      </c>
      <c r="AP47" t="str">
        <f t="shared" si="80"/>
        <v>-</v>
      </c>
      <c r="AQ47" t="str">
        <f t="shared" si="80"/>
        <v>-</v>
      </c>
      <c r="AR47" t="str">
        <f t="shared" si="80"/>
        <v>-</v>
      </c>
      <c r="AS47" t="str">
        <f t="shared" si="80"/>
        <v>-</v>
      </c>
      <c r="AT47" t="str">
        <f t="shared" si="80"/>
        <v>-</v>
      </c>
      <c r="AU47" t="str">
        <f t="shared" si="80"/>
        <v>-</v>
      </c>
      <c r="AV47" t="str">
        <f t="shared" si="80"/>
        <v>-</v>
      </c>
      <c r="AW47" t="str">
        <f t="shared" si="80"/>
        <v>-</v>
      </c>
      <c r="AX47" t="str">
        <f t="shared" si="80"/>
        <v>-</v>
      </c>
      <c r="AY47" t="str">
        <f t="shared" si="80"/>
        <v>-</v>
      </c>
      <c r="AZ47" t="str">
        <f t="shared" si="80"/>
        <v>-</v>
      </c>
      <c r="BA47" t="str">
        <f t="shared" si="80"/>
        <v>-</v>
      </c>
      <c r="BB47" t="str">
        <f t="shared" si="80"/>
        <v>-</v>
      </c>
      <c r="BC47" t="str">
        <f t="shared" si="80"/>
        <v>-</v>
      </c>
      <c r="BD47" t="str">
        <f t="shared" si="80"/>
        <v>-</v>
      </c>
      <c r="BE47" t="str">
        <f t="shared" si="80"/>
        <v>-</v>
      </c>
      <c r="BF47" t="str">
        <f t="shared" si="80"/>
        <v>-</v>
      </c>
      <c r="BG47" t="str">
        <f t="shared" si="80"/>
        <v>-</v>
      </c>
      <c r="BH47" t="str">
        <f t="shared" si="80"/>
        <v>-</v>
      </c>
      <c r="BI47" t="str">
        <f t="shared" si="80"/>
        <v>-</v>
      </c>
      <c r="BJ47" t="str">
        <f t="shared" si="80"/>
        <v>-</v>
      </c>
      <c r="BK47" t="str">
        <f t="shared" si="80"/>
        <v>-</v>
      </c>
      <c r="BL47" t="str">
        <f t="shared" si="80"/>
        <v>-</v>
      </c>
      <c r="BM47" t="str">
        <f t="shared" si="80"/>
        <v>-</v>
      </c>
      <c r="BO47" s="19" t="s">
        <v>67</v>
      </c>
    </row>
    <row r="48" spans="1:67" s="19" customFormat="1" outlineLevel="1" x14ac:dyDescent="0.25">
      <c r="B48" s="18" t="s">
        <v>59</v>
      </c>
      <c r="C48" s="23">
        <f>VLOOKUP(C24,'Tabelas SN'!$A$32:$D$37,3,FALSE)</f>
        <v>4.4999999999999998E-2</v>
      </c>
      <c r="D48" s="23">
        <f>VLOOKUP(D24,'Tabelas SN'!$A$32:$D$37,3,FALSE)</f>
        <v>4.4999999999999998E-2</v>
      </c>
      <c r="E48" s="23">
        <f>VLOOKUP(E24,'Tabelas SN'!$A$32:$D$37,3,FALSE)</f>
        <v>4.4999999999999998E-2</v>
      </c>
      <c r="F48" s="23">
        <f>VLOOKUP(F24,'Tabelas SN'!$A$32:$D$37,3,FALSE)</f>
        <v>4.4999999999999998E-2</v>
      </c>
      <c r="G48" s="23">
        <f>VLOOKUP(G24,'Tabelas SN'!$A$32:$D$37,3,FALSE)</f>
        <v>4.4999999999999998E-2</v>
      </c>
      <c r="H48" s="23">
        <f>VLOOKUP(H24,'Tabelas SN'!$A$32:$D$37,3,FALSE)</f>
        <v>4.4999999999999998E-2</v>
      </c>
      <c r="I48" s="23">
        <f>VLOOKUP(I24,'Tabelas SN'!$A$32:$D$37,3,FALSE)</f>
        <v>4.4999999999999998E-2</v>
      </c>
      <c r="J48" s="23">
        <f>VLOOKUP(J24,'Tabelas SN'!$A$32:$D$37,3,FALSE)</f>
        <v>4.4999999999999998E-2</v>
      </c>
      <c r="K48" s="23">
        <f>VLOOKUP(K24,'Tabelas SN'!$A$32:$D$37,3,FALSE)</f>
        <v>4.4999999999999998E-2</v>
      </c>
      <c r="L48" s="23">
        <f>VLOOKUP(L24,'Tabelas SN'!$A$32:$D$37,3,FALSE)</f>
        <v>4.4999999999999998E-2</v>
      </c>
      <c r="M48" s="23">
        <f>VLOOKUP(M24,'Tabelas SN'!$A$32:$D$37,3,FALSE)</f>
        <v>4.4999999999999998E-2</v>
      </c>
      <c r="N48" s="23">
        <f>VLOOKUP(N24,'Tabelas SN'!$A$32:$D$37,3,FALSE)</f>
        <v>4.4999999999999998E-2</v>
      </c>
      <c r="O48" s="23">
        <f>VLOOKUP(O24,'Tabelas SN'!$A$32:$D$37,3,FALSE)</f>
        <v>4.4999999999999998E-2</v>
      </c>
      <c r="P48" s="23">
        <f>VLOOKUP(P24,'Tabelas SN'!$A$32:$D$37,3,FALSE)</f>
        <v>4.4999999999999998E-2</v>
      </c>
      <c r="Q48" s="23">
        <f>VLOOKUP(Q24,'Tabelas SN'!$A$32:$D$37,3,FALSE)</f>
        <v>4.4999999999999998E-2</v>
      </c>
      <c r="R48" s="23">
        <f>VLOOKUP(R24,'Tabelas SN'!$A$32:$D$37,3,FALSE)</f>
        <v>4.4999999999999998E-2</v>
      </c>
      <c r="S48" s="23">
        <f>VLOOKUP(S24,'Tabelas SN'!$A$32:$D$37,3,FALSE)</f>
        <v>4.4999999999999998E-2</v>
      </c>
      <c r="T48" s="23">
        <f>VLOOKUP(T24,'Tabelas SN'!$A$32:$D$37,3,FALSE)</f>
        <v>4.4999999999999998E-2</v>
      </c>
      <c r="U48" s="23">
        <f>VLOOKUP(U24,'Tabelas SN'!$A$32:$D$37,3,FALSE)</f>
        <v>4.4999999999999998E-2</v>
      </c>
      <c r="V48" s="23">
        <f>VLOOKUP(V24,'Tabelas SN'!$A$32:$D$37,3,FALSE)</f>
        <v>4.4999999999999998E-2</v>
      </c>
      <c r="W48" s="23">
        <f>VLOOKUP(W24,'Tabelas SN'!$A$32:$D$37,3,FALSE)</f>
        <v>4.4999999999999998E-2</v>
      </c>
      <c r="X48" s="23">
        <f>VLOOKUP(X24,'Tabelas SN'!$A$32:$D$37,3,FALSE)</f>
        <v>4.4999999999999998E-2</v>
      </c>
      <c r="Y48" s="23">
        <f>VLOOKUP(Y24,'Tabelas SN'!$A$32:$D$37,3,FALSE)</f>
        <v>4.4999999999999998E-2</v>
      </c>
      <c r="Z48" s="23">
        <f>VLOOKUP(Z24,'Tabelas SN'!$A$32:$D$37,3,FALSE)</f>
        <v>4.4999999999999998E-2</v>
      </c>
      <c r="AA48" s="23">
        <f>VLOOKUP(AA24,'Tabelas SN'!$A$32:$D$37,3,FALSE)</f>
        <v>4.4999999999999998E-2</v>
      </c>
      <c r="AB48" s="23">
        <f>VLOOKUP(AB24,'Tabelas SN'!$A$32:$D$37,3,FALSE)</f>
        <v>4.4999999999999998E-2</v>
      </c>
      <c r="AC48" s="23">
        <f>VLOOKUP(AC24,'Tabelas SN'!$A$32:$D$37,3,FALSE)</f>
        <v>4.4999999999999998E-2</v>
      </c>
      <c r="AD48" s="23">
        <f>VLOOKUP(AD24,'Tabelas SN'!$A$32:$D$37,3,FALSE)</f>
        <v>4.4999999999999998E-2</v>
      </c>
      <c r="AE48" s="23">
        <f>VLOOKUP(AE24,'Tabelas SN'!$A$32:$D$37,3,FALSE)</f>
        <v>4.4999999999999998E-2</v>
      </c>
      <c r="AF48" s="23">
        <f>VLOOKUP(AF24,'Tabelas SN'!$A$32:$D$37,3,FALSE)</f>
        <v>4.4999999999999998E-2</v>
      </c>
      <c r="AG48" s="23">
        <f>VLOOKUP(AG24,'Tabelas SN'!$A$32:$D$37,3,FALSE)</f>
        <v>4.4999999999999998E-2</v>
      </c>
      <c r="AH48" s="23">
        <f>VLOOKUP(AH24,'Tabelas SN'!$A$32:$D$37,3,FALSE)</f>
        <v>4.4999999999999998E-2</v>
      </c>
      <c r="AI48" s="23">
        <f>VLOOKUP(AI24,'Tabelas SN'!$A$32:$D$37,3,FALSE)</f>
        <v>4.4999999999999998E-2</v>
      </c>
      <c r="AJ48" s="23">
        <f>VLOOKUP(AJ24,'Tabelas SN'!$A$32:$D$37,3,FALSE)</f>
        <v>4.4999999999999998E-2</v>
      </c>
      <c r="AK48" s="23">
        <f>VLOOKUP(AK24,'Tabelas SN'!$A$32:$D$37,3,FALSE)</f>
        <v>4.4999999999999998E-2</v>
      </c>
      <c r="AL48" s="23">
        <f>VLOOKUP(AL24,'Tabelas SN'!$A$32:$D$37,3,FALSE)</f>
        <v>4.4999999999999998E-2</v>
      </c>
      <c r="AM48" s="23">
        <f>VLOOKUP(AM24,'Tabelas SN'!$A$32:$D$37,3,FALSE)</f>
        <v>4.4999999999999998E-2</v>
      </c>
      <c r="AN48" s="23">
        <f>VLOOKUP(AN24,'Tabelas SN'!$A$32:$D$37,3,FALSE)</f>
        <v>4.4999999999999998E-2</v>
      </c>
      <c r="AO48" s="23">
        <f>VLOOKUP(AO24,'Tabelas SN'!$A$32:$D$37,3,FALSE)</f>
        <v>4.4999999999999998E-2</v>
      </c>
      <c r="AP48" s="23">
        <f>VLOOKUP(AP24,'Tabelas SN'!$A$32:$D$37,3,FALSE)</f>
        <v>4.4999999999999998E-2</v>
      </c>
      <c r="AQ48" s="23">
        <f>VLOOKUP(AQ24,'Tabelas SN'!$A$32:$D$37,3,FALSE)</f>
        <v>4.4999999999999998E-2</v>
      </c>
      <c r="AR48" s="23">
        <f>VLOOKUP(AR24,'Tabelas SN'!$A$32:$D$37,3,FALSE)</f>
        <v>4.4999999999999998E-2</v>
      </c>
      <c r="AS48" s="23">
        <f>VLOOKUP(AS24,'Tabelas SN'!$A$32:$D$37,3,FALSE)</f>
        <v>4.4999999999999998E-2</v>
      </c>
      <c r="AT48" s="23">
        <f>VLOOKUP(AT24,'Tabelas SN'!$A$32:$D$37,3,FALSE)</f>
        <v>4.4999999999999998E-2</v>
      </c>
      <c r="AU48" s="23">
        <f>VLOOKUP(AU24,'Tabelas SN'!$A$32:$D$37,3,FALSE)</f>
        <v>4.4999999999999998E-2</v>
      </c>
      <c r="AV48" s="23">
        <f>VLOOKUP(AV24,'Tabelas SN'!$A$32:$D$37,3,FALSE)</f>
        <v>4.4999999999999998E-2</v>
      </c>
      <c r="AW48" s="23">
        <f>VLOOKUP(AW24,'Tabelas SN'!$A$32:$D$37,3,FALSE)</f>
        <v>4.4999999999999998E-2</v>
      </c>
      <c r="AX48" s="23">
        <f>VLOOKUP(AX24,'Tabelas SN'!$A$32:$D$37,3,FALSE)</f>
        <v>4.4999999999999998E-2</v>
      </c>
      <c r="AY48" s="23">
        <f>VLOOKUP(AY24,'Tabelas SN'!$A$32:$D$37,3,FALSE)</f>
        <v>4.4999999999999998E-2</v>
      </c>
      <c r="AZ48" s="23">
        <f>VLOOKUP(AZ24,'Tabelas SN'!$A$32:$D$37,3,FALSE)</f>
        <v>4.4999999999999998E-2</v>
      </c>
      <c r="BA48" s="23">
        <f>VLOOKUP(BA24,'Tabelas SN'!$A$32:$D$37,3,FALSE)</f>
        <v>4.4999999999999998E-2</v>
      </c>
      <c r="BB48" s="23">
        <f>VLOOKUP(BB24,'Tabelas SN'!$A$32:$D$37,3,FALSE)</f>
        <v>4.4999999999999998E-2</v>
      </c>
      <c r="BC48" s="23">
        <f>VLOOKUP(BC24,'Tabelas SN'!$A$32:$D$37,3,FALSE)</f>
        <v>4.4999999999999998E-2</v>
      </c>
      <c r="BD48" s="23">
        <f>VLOOKUP(BD24,'Tabelas SN'!$A$32:$D$37,3,FALSE)</f>
        <v>4.4999999999999998E-2</v>
      </c>
      <c r="BE48" s="23">
        <f>VLOOKUP(BE24,'Tabelas SN'!$A$32:$D$37,3,FALSE)</f>
        <v>4.4999999999999998E-2</v>
      </c>
      <c r="BF48" s="23">
        <f>VLOOKUP(BF24,'Tabelas SN'!$A$32:$D$37,3,FALSE)</f>
        <v>4.4999999999999998E-2</v>
      </c>
      <c r="BG48" s="23">
        <f>VLOOKUP(BG24,'Tabelas SN'!$A$32:$D$37,3,FALSE)</f>
        <v>4.4999999999999998E-2</v>
      </c>
      <c r="BH48" s="23">
        <f>VLOOKUP(BH24,'Tabelas SN'!$A$32:$D$37,3,FALSE)</f>
        <v>4.4999999999999998E-2</v>
      </c>
      <c r="BI48" s="23">
        <f>VLOOKUP(BI24,'Tabelas SN'!$A$32:$D$37,3,FALSE)</f>
        <v>4.4999999999999998E-2</v>
      </c>
      <c r="BJ48" s="23">
        <f>VLOOKUP(BJ24,'Tabelas SN'!$A$32:$D$37,3,FALSE)</f>
        <v>4.4999999999999998E-2</v>
      </c>
      <c r="BK48" s="23">
        <f>VLOOKUP(BK24,'Tabelas SN'!$A$32:$D$37,3,FALSE)</f>
        <v>4.4999999999999998E-2</v>
      </c>
      <c r="BL48" s="23">
        <f>VLOOKUP(BL24,'Tabelas SN'!$A$32:$D$37,3,FALSE)</f>
        <v>4.4999999999999998E-2</v>
      </c>
      <c r="BM48" s="23">
        <f>VLOOKUP(BM24,'Tabelas SN'!$A$32:$D$37,3,FALSE)</f>
        <v>4.4999999999999998E-2</v>
      </c>
      <c r="BO48" s="19" t="s">
        <v>67</v>
      </c>
    </row>
    <row r="49" spans="2:67" outlineLevel="1" x14ac:dyDescent="0.25">
      <c r="B49" s="4" t="s">
        <v>60</v>
      </c>
      <c r="C49" s="1" t="str">
        <f>IFERROR(C48*C30-VLOOKUP(C24,'Tabelas SN'!$A$32:$D$37,4,FALSE),"-")</f>
        <v>-</v>
      </c>
      <c r="D49" s="1" t="str">
        <f>IFERROR(D48*D30-VLOOKUP(D24,'Tabelas SN'!$A$32:$D$37,4,FALSE),"-")</f>
        <v>-</v>
      </c>
      <c r="E49" s="1" t="str">
        <f>IFERROR(E48*E30-VLOOKUP(E24,'Tabelas SN'!$A$32:$D$37,4,FALSE),"-")</f>
        <v>-</v>
      </c>
      <c r="F49" s="1" t="str">
        <f>IFERROR(F48*F30-VLOOKUP(F24,'Tabelas SN'!$A$32:$D$37,4,FALSE),"-")</f>
        <v>-</v>
      </c>
      <c r="G49" s="1" t="str">
        <f>IFERROR(G48*G30-VLOOKUP(G24,'Tabelas SN'!$A$32:$D$37,4,FALSE),"-")</f>
        <v>-</v>
      </c>
      <c r="H49" s="1" t="str">
        <f>IFERROR(H48*H30-VLOOKUP(H24,'Tabelas SN'!$A$32:$D$37,4,FALSE),"-")</f>
        <v>-</v>
      </c>
      <c r="I49" s="1" t="str">
        <f>IFERROR(I48*I30-VLOOKUP(I24,'Tabelas SN'!$A$32:$D$37,4,FALSE),"-")</f>
        <v>-</v>
      </c>
      <c r="J49" s="1" t="str">
        <f>IFERROR(J48*J30-VLOOKUP(J24,'Tabelas SN'!$A$32:$D$37,4,FALSE),"-")</f>
        <v>-</v>
      </c>
      <c r="K49" s="1" t="str">
        <f>IFERROR(K48*K30-VLOOKUP(K24,'Tabelas SN'!$A$32:$D$37,4,FALSE),"-")</f>
        <v>-</v>
      </c>
      <c r="L49" s="1" t="str">
        <f>IFERROR(L48*L30-VLOOKUP(L24,'Tabelas SN'!$A$32:$D$37,4,FALSE),"-")</f>
        <v>-</v>
      </c>
      <c r="M49" s="1" t="str">
        <f>IFERROR(M48*M30-VLOOKUP(M24,'Tabelas SN'!$A$32:$D$37,4,FALSE),"-")</f>
        <v>-</v>
      </c>
      <c r="N49" s="1" t="str">
        <f>IFERROR(N48*N30-VLOOKUP(N24,'Tabelas SN'!$A$32:$D$37,4,FALSE),"-")</f>
        <v>-</v>
      </c>
      <c r="O49" s="1" t="str">
        <f>IFERROR(O48*O30-VLOOKUP(O24,'Tabelas SN'!$A$32:$D$37,4,FALSE),"-")</f>
        <v>-</v>
      </c>
      <c r="P49" s="1" t="str">
        <f>IFERROR(P48*P30-VLOOKUP(P24,'Tabelas SN'!$A$32:$D$37,4,FALSE),"-")</f>
        <v>-</v>
      </c>
      <c r="Q49" s="1" t="str">
        <f>IFERROR(Q48*Q30-VLOOKUP(Q24,'Tabelas SN'!$A$32:$D$37,4,FALSE),"-")</f>
        <v>-</v>
      </c>
      <c r="R49" s="1" t="str">
        <f>IFERROR(R48*R30-VLOOKUP(R24,'Tabelas SN'!$A$32:$D$37,4,FALSE),"-")</f>
        <v>-</v>
      </c>
      <c r="S49" s="1" t="str">
        <f>IFERROR(S48*S30-VLOOKUP(S24,'Tabelas SN'!$A$32:$D$37,4,FALSE),"-")</f>
        <v>-</v>
      </c>
      <c r="T49" s="1" t="str">
        <f>IFERROR(T48*T30-VLOOKUP(T24,'Tabelas SN'!$A$32:$D$37,4,FALSE),"-")</f>
        <v>-</v>
      </c>
      <c r="U49" s="1" t="str">
        <f>IFERROR(U48*U30-VLOOKUP(U24,'Tabelas SN'!$A$32:$D$37,4,FALSE),"-")</f>
        <v>-</v>
      </c>
      <c r="V49" s="1" t="str">
        <f>IFERROR(V48*V30-VLOOKUP(V24,'Tabelas SN'!$A$32:$D$37,4,FALSE),"-")</f>
        <v>-</v>
      </c>
      <c r="W49" s="1" t="str">
        <f>IFERROR(W48*W30-VLOOKUP(W24,'Tabelas SN'!$A$32:$D$37,4,FALSE),"-")</f>
        <v>-</v>
      </c>
      <c r="X49" s="1" t="str">
        <f>IFERROR(X48*X30-VLOOKUP(X24,'Tabelas SN'!$A$32:$D$37,4,FALSE),"-")</f>
        <v>-</v>
      </c>
      <c r="Y49" s="1" t="str">
        <f>IFERROR(Y48*Y30-VLOOKUP(Y24,'Tabelas SN'!$A$32:$D$37,4,FALSE),"-")</f>
        <v>-</v>
      </c>
      <c r="Z49" s="1" t="str">
        <f>IFERROR(Z48*Z30-VLOOKUP(Z24,'Tabelas SN'!$A$32:$D$37,4,FALSE),"-")</f>
        <v>-</v>
      </c>
      <c r="AA49" s="1" t="str">
        <f>IFERROR(AA48*AA30-VLOOKUP(AA24,'Tabelas SN'!$A$32:$D$37,4,FALSE),"-")</f>
        <v>-</v>
      </c>
      <c r="AB49" s="1" t="str">
        <f>IFERROR(AB48*AB30-VLOOKUP(AB24,'Tabelas SN'!$A$32:$D$37,4,FALSE),"-")</f>
        <v>-</v>
      </c>
      <c r="AC49" s="1" t="str">
        <f>IFERROR(AC48*AC30-VLOOKUP(AC24,'Tabelas SN'!$A$32:$D$37,4,FALSE),"-")</f>
        <v>-</v>
      </c>
      <c r="AD49" s="1" t="str">
        <f>IFERROR(AD48*AD30-VLOOKUP(AD24,'Tabelas SN'!$A$32:$D$37,4,FALSE),"-")</f>
        <v>-</v>
      </c>
      <c r="AE49" s="1" t="str">
        <f>IFERROR(AE48*AE30-VLOOKUP(AE24,'Tabelas SN'!$A$32:$D$37,4,FALSE),"-")</f>
        <v>-</v>
      </c>
      <c r="AF49" s="1" t="str">
        <f>IFERROR(AF48*AF30-VLOOKUP(AF24,'Tabelas SN'!$A$32:$D$37,4,FALSE),"-")</f>
        <v>-</v>
      </c>
      <c r="AG49" s="1" t="str">
        <f>IFERROR(AG48*AG30-VLOOKUP(AG24,'Tabelas SN'!$A$32:$D$37,4,FALSE),"-")</f>
        <v>-</v>
      </c>
      <c r="AH49" s="1" t="str">
        <f>IFERROR(AH48*AH30-VLOOKUP(AH24,'Tabelas SN'!$A$32:$D$37,4,FALSE),"-")</f>
        <v>-</v>
      </c>
      <c r="AI49" s="1" t="str">
        <f>IFERROR(AI48*AI30-VLOOKUP(AI24,'Tabelas SN'!$A$32:$D$37,4,FALSE),"-")</f>
        <v>-</v>
      </c>
      <c r="AJ49" s="1" t="str">
        <f>IFERROR(AJ48*AJ30-VLOOKUP(AJ24,'Tabelas SN'!$A$32:$D$37,4,FALSE),"-")</f>
        <v>-</v>
      </c>
      <c r="AK49" s="1" t="str">
        <f>IFERROR(AK48*AK30-VLOOKUP(AK24,'Tabelas SN'!$A$32:$D$37,4,FALSE),"-")</f>
        <v>-</v>
      </c>
      <c r="AL49" s="1" t="str">
        <f>IFERROR(AL48*AL30-VLOOKUP(AL24,'Tabelas SN'!$A$32:$D$37,4,FALSE),"-")</f>
        <v>-</v>
      </c>
      <c r="AM49" s="1" t="str">
        <f>IFERROR(AM48*AM30-VLOOKUP(AM24,'Tabelas SN'!$A$32:$D$37,4,FALSE),"-")</f>
        <v>-</v>
      </c>
      <c r="AN49" s="1" t="str">
        <f>IFERROR(AN48*AN30-VLOOKUP(AN24,'Tabelas SN'!$A$32:$D$37,4,FALSE),"-")</f>
        <v>-</v>
      </c>
      <c r="AO49" s="1" t="str">
        <f>IFERROR(AO48*AO30-VLOOKUP(AO24,'Tabelas SN'!$A$32:$D$37,4,FALSE),"-")</f>
        <v>-</v>
      </c>
      <c r="AP49" s="1" t="str">
        <f>IFERROR(AP48*AP30-VLOOKUP(AP24,'Tabelas SN'!$A$32:$D$37,4,FALSE),"-")</f>
        <v>-</v>
      </c>
      <c r="AQ49" s="1" t="str">
        <f>IFERROR(AQ48*AQ30-VLOOKUP(AQ24,'Tabelas SN'!$A$32:$D$37,4,FALSE),"-")</f>
        <v>-</v>
      </c>
      <c r="AR49" s="1" t="str">
        <f>IFERROR(AR48*AR30-VLOOKUP(AR24,'Tabelas SN'!$A$32:$D$37,4,FALSE),"-")</f>
        <v>-</v>
      </c>
      <c r="AS49" s="1" t="str">
        <f>IFERROR(AS48*AS30-VLOOKUP(AS24,'Tabelas SN'!$A$32:$D$37,4,FALSE),"-")</f>
        <v>-</v>
      </c>
      <c r="AT49" s="1" t="str">
        <f>IFERROR(AT48*AT30-VLOOKUP(AT24,'Tabelas SN'!$A$32:$D$37,4,FALSE),"-")</f>
        <v>-</v>
      </c>
      <c r="AU49" s="1" t="str">
        <f>IFERROR(AU48*AU30-VLOOKUP(AU24,'Tabelas SN'!$A$32:$D$37,4,FALSE),"-")</f>
        <v>-</v>
      </c>
      <c r="AV49" s="1" t="str">
        <f>IFERROR(AV48*AV30-VLOOKUP(AV24,'Tabelas SN'!$A$32:$D$37,4,FALSE),"-")</f>
        <v>-</v>
      </c>
      <c r="AW49" s="1" t="str">
        <f>IFERROR(AW48*AW30-VLOOKUP(AW24,'Tabelas SN'!$A$32:$D$37,4,FALSE),"-")</f>
        <v>-</v>
      </c>
      <c r="AX49" s="1" t="str">
        <f>IFERROR(AX48*AX30-VLOOKUP(AX24,'Tabelas SN'!$A$32:$D$37,4,FALSE),"-")</f>
        <v>-</v>
      </c>
      <c r="AY49" s="1" t="str">
        <f>IFERROR(AY48*AY30-VLOOKUP(AY24,'Tabelas SN'!$A$32:$D$37,4,FALSE),"-")</f>
        <v>-</v>
      </c>
      <c r="AZ49" s="1" t="str">
        <f>IFERROR(AZ48*AZ30-VLOOKUP(AZ24,'Tabelas SN'!$A$32:$D$37,4,FALSE),"-")</f>
        <v>-</v>
      </c>
      <c r="BA49" s="1" t="str">
        <f>IFERROR(BA48*BA30-VLOOKUP(BA24,'Tabelas SN'!$A$32:$D$37,4,FALSE),"-")</f>
        <v>-</v>
      </c>
      <c r="BB49" s="1" t="str">
        <f>IFERROR(BB48*BB30-VLOOKUP(BB24,'Tabelas SN'!$A$32:$D$37,4,FALSE),"-")</f>
        <v>-</v>
      </c>
      <c r="BC49" s="1" t="str">
        <f>IFERROR(BC48*BC30-VLOOKUP(BC24,'Tabelas SN'!$A$32:$D$37,4,FALSE),"-")</f>
        <v>-</v>
      </c>
      <c r="BD49" s="1" t="str">
        <f>IFERROR(BD48*BD30-VLOOKUP(BD24,'Tabelas SN'!$A$32:$D$37,4,FALSE),"-")</f>
        <v>-</v>
      </c>
      <c r="BE49" s="1" t="str">
        <f>IFERROR(BE48*BE30-VLOOKUP(BE24,'Tabelas SN'!$A$32:$D$37,4,FALSE),"-")</f>
        <v>-</v>
      </c>
      <c r="BF49" s="1" t="str">
        <f>IFERROR(BF48*BF30-VLOOKUP(BF24,'Tabelas SN'!$A$32:$D$37,4,FALSE),"-")</f>
        <v>-</v>
      </c>
      <c r="BG49" s="1" t="str">
        <f>IFERROR(BG48*BG30-VLOOKUP(BG24,'Tabelas SN'!$A$32:$D$37,4,FALSE),"-")</f>
        <v>-</v>
      </c>
      <c r="BH49" s="1" t="str">
        <f>IFERROR(BH48*BH30-VLOOKUP(BH24,'Tabelas SN'!$A$32:$D$37,4,FALSE),"-")</f>
        <v>-</v>
      </c>
      <c r="BI49" s="1" t="str">
        <f>IFERROR(BI48*BI30-VLOOKUP(BI24,'Tabelas SN'!$A$32:$D$37,4,FALSE),"-")</f>
        <v>-</v>
      </c>
      <c r="BJ49" s="1" t="str">
        <f>IFERROR(BJ48*BJ30-VLOOKUP(BJ24,'Tabelas SN'!$A$32:$D$37,4,FALSE),"-")</f>
        <v>-</v>
      </c>
      <c r="BK49" s="1" t="str">
        <f>IFERROR(BK48*BK30-VLOOKUP(BK24,'Tabelas SN'!$A$32:$D$37,4,FALSE),"-")</f>
        <v>-</v>
      </c>
      <c r="BL49" s="1" t="str">
        <f>IFERROR(BL48*BL30-VLOOKUP(BL24,'Tabelas SN'!$A$32:$D$37,4,FALSE),"-")</f>
        <v>-</v>
      </c>
      <c r="BM49" s="1" t="str">
        <f>IFERROR(BM48*BM30-VLOOKUP(BM24,'Tabelas SN'!$A$32:$D$37,4,FALSE),"-")</f>
        <v>-</v>
      </c>
      <c r="BO49" s="19" t="s">
        <v>67</v>
      </c>
    </row>
    <row r="50" spans="2:67" s="19" customFormat="1" outlineLevel="1" x14ac:dyDescent="0.25">
      <c r="B50" s="18" t="s">
        <v>61</v>
      </c>
      <c r="C50" s="21" t="str">
        <f t="shared" ref="C50" si="81">IFERROR(C49/C$30,"-")</f>
        <v>-</v>
      </c>
      <c r="D50" s="21" t="str">
        <f t="shared" ref="D50" si="82">IFERROR(D49/D$30,"-")</f>
        <v>-</v>
      </c>
      <c r="E50" s="21" t="str">
        <f t="shared" ref="E50" si="83">IFERROR(E49/E$30,"-")</f>
        <v>-</v>
      </c>
      <c r="F50" s="21" t="str">
        <f t="shared" ref="F50" si="84">IFERROR(F49/F$30,"-")</f>
        <v>-</v>
      </c>
      <c r="G50" s="21" t="str">
        <f t="shared" ref="G50" si="85">IFERROR(G49/G$30,"-")</f>
        <v>-</v>
      </c>
      <c r="H50" s="21" t="str">
        <f t="shared" ref="H50" si="86">IFERROR(H49/H$30,"-")</f>
        <v>-</v>
      </c>
      <c r="I50" s="21" t="str">
        <f t="shared" ref="I50" si="87">IFERROR(I49/I$30,"-")</f>
        <v>-</v>
      </c>
      <c r="J50" s="21" t="str">
        <f t="shared" ref="J50" si="88">IFERROR(J49/J$30,"-")</f>
        <v>-</v>
      </c>
      <c r="K50" s="21" t="str">
        <f t="shared" ref="K50" si="89">IFERROR(K49/K$30,"-")</f>
        <v>-</v>
      </c>
      <c r="L50" s="21" t="str">
        <f t="shared" ref="L50" si="90">IFERROR(L49/L$30,"-")</f>
        <v>-</v>
      </c>
      <c r="M50" s="21" t="str">
        <f t="shared" ref="M50:BA50" si="91">IFERROR(M49/M$30,"-")</f>
        <v>-</v>
      </c>
      <c r="N50" s="21" t="str">
        <f t="shared" si="91"/>
        <v>-</v>
      </c>
      <c r="O50" s="21" t="str">
        <f t="shared" si="91"/>
        <v>-</v>
      </c>
      <c r="P50" s="21" t="str">
        <f t="shared" si="91"/>
        <v>-</v>
      </c>
      <c r="Q50" s="21" t="str">
        <f t="shared" si="91"/>
        <v>-</v>
      </c>
      <c r="R50" s="21" t="str">
        <f t="shared" si="91"/>
        <v>-</v>
      </c>
      <c r="S50" s="21" t="str">
        <f t="shared" si="91"/>
        <v>-</v>
      </c>
      <c r="T50" s="21" t="str">
        <f t="shared" si="91"/>
        <v>-</v>
      </c>
      <c r="U50" s="21" t="str">
        <f t="shared" si="91"/>
        <v>-</v>
      </c>
      <c r="V50" s="21" t="str">
        <f t="shared" si="91"/>
        <v>-</v>
      </c>
      <c r="W50" s="21" t="str">
        <f t="shared" si="91"/>
        <v>-</v>
      </c>
      <c r="X50" s="21" t="str">
        <f t="shared" si="91"/>
        <v>-</v>
      </c>
      <c r="Y50" s="21" t="str">
        <f t="shared" si="91"/>
        <v>-</v>
      </c>
      <c r="Z50" s="21" t="str">
        <f t="shared" si="91"/>
        <v>-</v>
      </c>
      <c r="AA50" s="21" t="str">
        <f t="shared" si="91"/>
        <v>-</v>
      </c>
      <c r="AB50" s="21" t="str">
        <f t="shared" si="91"/>
        <v>-</v>
      </c>
      <c r="AC50" s="21" t="str">
        <f t="shared" si="91"/>
        <v>-</v>
      </c>
      <c r="AD50" s="21" t="str">
        <f t="shared" si="91"/>
        <v>-</v>
      </c>
      <c r="AE50" s="21" t="str">
        <f t="shared" si="91"/>
        <v>-</v>
      </c>
      <c r="AF50" s="21" t="str">
        <f t="shared" si="91"/>
        <v>-</v>
      </c>
      <c r="AG50" s="21" t="str">
        <f t="shared" si="91"/>
        <v>-</v>
      </c>
      <c r="AH50" s="21" t="str">
        <f t="shared" si="91"/>
        <v>-</v>
      </c>
      <c r="AI50" s="21" t="str">
        <f t="shared" si="91"/>
        <v>-</v>
      </c>
      <c r="AJ50" s="21" t="str">
        <f t="shared" si="91"/>
        <v>-</v>
      </c>
      <c r="AK50" s="21" t="str">
        <f t="shared" si="91"/>
        <v>-</v>
      </c>
      <c r="AL50" s="21" t="str">
        <f t="shared" si="91"/>
        <v>-</v>
      </c>
      <c r="AM50" s="21" t="str">
        <f t="shared" si="91"/>
        <v>-</v>
      </c>
      <c r="AN50" s="21" t="str">
        <f t="shared" si="91"/>
        <v>-</v>
      </c>
      <c r="AO50" s="21" t="str">
        <f t="shared" si="91"/>
        <v>-</v>
      </c>
      <c r="AP50" s="21" t="str">
        <f t="shared" si="91"/>
        <v>-</v>
      </c>
      <c r="AQ50" s="21" t="str">
        <f t="shared" si="91"/>
        <v>-</v>
      </c>
      <c r="AR50" s="21" t="str">
        <f t="shared" si="91"/>
        <v>-</v>
      </c>
      <c r="AS50" s="21" t="str">
        <f t="shared" si="91"/>
        <v>-</v>
      </c>
      <c r="AT50" s="21" t="str">
        <f t="shared" si="91"/>
        <v>-</v>
      </c>
      <c r="AU50" s="21" t="str">
        <f t="shared" si="91"/>
        <v>-</v>
      </c>
      <c r="AV50" s="21" t="str">
        <f t="shared" si="91"/>
        <v>-</v>
      </c>
      <c r="AW50" s="21" t="str">
        <f t="shared" si="91"/>
        <v>-</v>
      </c>
      <c r="AX50" s="21" t="str">
        <f t="shared" si="91"/>
        <v>-</v>
      </c>
      <c r="AY50" s="21" t="str">
        <f t="shared" si="91"/>
        <v>-</v>
      </c>
      <c r="AZ50" s="21" t="str">
        <f t="shared" si="91"/>
        <v>-</v>
      </c>
      <c r="BA50" s="21" t="str">
        <f t="shared" si="91"/>
        <v>-</v>
      </c>
      <c r="BB50" s="21" t="str">
        <f t="shared" ref="BB50:BM50" si="92">IFERROR(BB49/BB$30,"-")</f>
        <v>-</v>
      </c>
      <c r="BC50" s="21" t="str">
        <f t="shared" si="92"/>
        <v>-</v>
      </c>
      <c r="BD50" s="21" t="str">
        <f t="shared" si="92"/>
        <v>-</v>
      </c>
      <c r="BE50" s="21" t="str">
        <f t="shared" si="92"/>
        <v>-</v>
      </c>
      <c r="BF50" s="21" t="str">
        <f t="shared" si="92"/>
        <v>-</v>
      </c>
      <c r="BG50" s="21" t="str">
        <f t="shared" si="92"/>
        <v>-</v>
      </c>
      <c r="BH50" s="21" t="str">
        <f t="shared" si="92"/>
        <v>-</v>
      </c>
      <c r="BI50" s="21" t="str">
        <f t="shared" si="92"/>
        <v>-</v>
      </c>
      <c r="BJ50" s="21" t="str">
        <f t="shared" si="92"/>
        <v>-</v>
      </c>
      <c r="BK50" s="21" t="str">
        <f t="shared" si="92"/>
        <v>-</v>
      </c>
      <c r="BL50" s="21" t="str">
        <f t="shared" si="92"/>
        <v>-</v>
      </c>
      <c r="BM50" s="21" t="str">
        <f t="shared" si="92"/>
        <v>-</v>
      </c>
      <c r="BO50" s="19" t="s">
        <v>67</v>
      </c>
    </row>
    <row r="51" spans="2:67" s="19" customFormat="1" outlineLevel="1" x14ac:dyDescent="0.25">
      <c r="B51" s="18" t="s">
        <v>42</v>
      </c>
      <c r="C51" s="21" t="str">
        <f>IFERROR(VLOOKUP(C24,'Tabelas SN'!$A$50:$J$55,10,FALSE)*C50,"-")</f>
        <v>-</v>
      </c>
      <c r="D51" s="21" t="str">
        <f>IFERROR(VLOOKUP(D24,'Tabelas SN'!$A$50:$J$55,10,FALSE)*D50,"-")</f>
        <v>-</v>
      </c>
      <c r="E51" s="21" t="str">
        <f>IFERROR(VLOOKUP(E24,'Tabelas SN'!$A$50:$J$55,10,FALSE)*E50,"-")</f>
        <v>-</v>
      </c>
      <c r="F51" s="21" t="str">
        <f>IFERROR(VLOOKUP(F24,'Tabelas SN'!$A$50:$J$55,10,FALSE)*F50,"-")</f>
        <v>-</v>
      </c>
      <c r="G51" s="21" t="str">
        <f>IFERROR(VLOOKUP(G24,'Tabelas SN'!$A$50:$J$55,10,FALSE)*G50,"-")</f>
        <v>-</v>
      </c>
      <c r="H51" s="21" t="str">
        <f>IFERROR(VLOOKUP(H24,'Tabelas SN'!$A$50:$J$55,10,FALSE)*H50,"-")</f>
        <v>-</v>
      </c>
      <c r="I51" s="21" t="str">
        <f>IFERROR(VLOOKUP(I24,'Tabelas SN'!$A$50:$J$55,10,FALSE)*I50,"-")</f>
        <v>-</v>
      </c>
      <c r="J51" s="21" t="str">
        <f>IFERROR(VLOOKUP(J24,'Tabelas SN'!$A$50:$J$55,10,FALSE)*J50,"-")</f>
        <v>-</v>
      </c>
      <c r="K51" s="21" t="str">
        <f>IFERROR(VLOOKUP(K24,'Tabelas SN'!$A$50:$J$55,10,FALSE)*K50,"-")</f>
        <v>-</v>
      </c>
      <c r="L51" s="21" t="str">
        <f>IFERROR(VLOOKUP(L24,'Tabelas SN'!$A$50:$J$55,10,FALSE)*L50,"-")</f>
        <v>-</v>
      </c>
      <c r="M51" s="21" t="str">
        <f>IFERROR(VLOOKUP(M24,'Tabelas SN'!$A$50:$J$55,10,FALSE)*M50,"-")</f>
        <v>-</v>
      </c>
      <c r="N51" s="21" t="str">
        <f>IFERROR(VLOOKUP(N24,'Tabelas SN'!$A$50:$J$55,10,FALSE)*N50,"-")</f>
        <v>-</v>
      </c>
      <c r="O51" s="21" t="str">
        <f>IFERROR(VLOOKUP(O24,'Tabelas SN'!$A$50:$J$55,10,FALSE)*O50,"-")</f>
        <v>-</v>
      </c>
      <c r="P51" s="21" t="str">
        <f>IFERROR(VLOOKUP(P24,'Tabelas SN'!$A$50:$J$55,10,FALSE)*P50,"-")</f>
        <v>-</v>
      </c>
      <c r="Q51" s="21" t="str">
        <f>IFERROR(VLOOKUP(Q24,'Tabelas SN'!$A$50:$J$55,10,FALSE)*Q50,"-")</f>
        <v>-</v>
      </c>
      <c r="R51" s="21" t="str">
        <f>IFERROR(VLOOKUP(R24,'Tabelas SN'!$A$50:$J$55,10,FALSE)*R50,"-")</f>
        <v>-</v>
      </c>
      <c r="S51" s="21" t="str">
        <f>IFERROR(VLOOKUP(S24,'Tabelas SN'!$A$50:$J$55,10,FALSE)*S50,"-")</f>
        <v>-</v>
      </c>
      <c r="T51" s="21" t="str">
        <f>IFERROR(VLOOKUP(T24,'Tabelas SN'!$A$50:$J$55,10,FALSE)*T50,"-")</f>
        <v>-</v>
      </c>
      <c r="U51" s="21" t="str">
        <f>IFERROR(VLOOKUP(U24,'Tabelas SN'!$A$50:$J$55,10,FALSE)*U50,"-")</f>
        <v>-</v>
      </c>
      <c r="V51" s="21" t="str">
        <f>IFERROR(VLOOKUP(V24,'Tabelas SN'!$A$50:$J$55,10,FALSE)*V50,"-")</f>
        <v>-</v>
      </c>
      <c r="W51" s="21" t="str">
        <f>IFERROR(VLOOKUP(W24,'Tabelas SN'!$A$50:$J$55,10,FALSE)*W50,"-")</f>
        <v>-</v>
      </c>
      <c r="X51" s="21" t="str">
        <f>IFERROR(VLOOKUP(X24,'Tabelas SN'!$A$50:$J$55,10,FALSE)*X50,"-")</f>
        <v>-</v>
      </c>
      <c r="Y51" s="21" t="str">
        <f>IFERROR(VLOOKUP(Y24,'Tabelas SN'!$A$50:$J$55,10,FALSE)*Y50,"-")</f>
        <v>-</v>
      </c>
      <c r="Z51" s="21" t="str">
        <f>IFERROR(VLOOKUP(Z24,'Tabelas SN'!$A$50:$J$55,10,FALSE)*Z50,"-")</f>
        <v>-</v>
      </c>
      <c r="AA51" s="21" t="str">
        <f>IFERROR(VLOOKUP(AA24,'Tabelas SN'!$A$50:$J$55,10,FALSE)*AA50,"-")</f>
        <v>-</v>
      </c>
      <c r="AB51" s="21" t="str">
        <f>IFERROR(VLOOKUP(AB24,'Tabelas SN'!$A$50:$J$55,10,FALSE)*AB50,"-")</f>
        <v>-</v>
      </c>
      <c r="AC51" s="21" t="str">
        <f>IFERROR(VLOOKUP(AC24,'Tabelas SN'!$A$50:$J$55,10,FALSE)*AC50,"-")</f>
        <v>-</v>
      </c>
      <c r="AD51" s="21" t="str">
        <f>IFERROR(VLOOKUP(AD24,'Tabelas SN'!$A$50:$J$55,10,FALSE)*AD50,"-")</f>
        <v>-</v>
      </c>
      <c r="AE51" s="21" t="str">
        <f>IFERROR(VLOOKUP(AE24,'Tabelas SN'!$A$50:$J$55,10,FALSE)*AE50,"-")</f>
        <v>-</v>
      </c>
      <c r="AF51" s="21" t="str">
        <f>IFERROR(VLOOKUP(AF24,'Tabelas SN'!$A$50:$J$55,10,FALSE)*AF50,"-")</f>
        <v>-</v>
      </c>
      <c r="AG51" s="21" t="str">
        <f>IFERROR(VLOOKUP(AG24,'Tabelas SN'!$A$50:$J$55,10,FALSE)*AG50,"-")</f>
        <v>-</v>
      </c>
      <c r="AH51" s="21" t="str">
        <f>IFERROR(VLOOKUP(AH24,'Tabelas SN'!$A$50:$J$55,10,FALSE)*AH50,"-")</f>
        <v>-</v>
      </c>
      <c r="AI51" s="21" t="str">
        <f>IFERROR(VLOOKUP(AI24,'Tabelas SN'!$A$50:$J$55,10,FALSE)*AI50,"-")</f>
        <v>-</v>
      </c>
      <c r="AJ51" s="21" t="str">
        <f>IFERROR(VLOOKUP(AJ24,'Tabelas SN'!$A$50:$J$55,10,FALSE)*AJ50,"-")</f>
        <v>-</v>
      </c>
      <c r="AK51" s="21" t="str">
        <f>IFERROR(VLOOKUP(AK24,'Tabelas SN'!$A$50:$J$55,10,FALSE)*AK50,"-")</f>
        <v>-</v>
      </c>
      <c r="AL51" s="21" t="str">
        <f>IFERROR(VLOOKUP(AL24,'Tabelas SN'!$A$50:$J$55,10,FALSE)*AL50,"-")</f>
        <v>-</v>
      </c>
      <c r="AM51" s="21" t="str">
        <f>IFERROR(VLOOKUP(AM24,'Tabelas SN'!$A$50:$J$55,10,FALSE)*AM50,"-")</f>
        <v>-</v>
      </c>
      <c r="AN51" s="21" t="str">
        <f>IFERROR(VLOOKUP(AN24,'Tabelas SN'!$A$50:$J$55,10,FALSE)*AN50,"-")</f>
        <v>-</v>
      </c>
      <c r="AO51" s="21" t="str">
        <f>IFERROR(VLOOKUP(AO24,'Tabelas SN'!$A$50:$J$55,10,FALSE)*AO50,"-")</f>
        <v>-</v>
      </c>
      <c r="AP51" s="21" t="str">
        <f>IFERROR(VLOOKUP(AP24,'Tabelas SN'!$A$50:$J$55,10,FALSE)*AP50,"-")</f>
        <v>-</v>
      </c>
      <c r="AQ51" s="21" t="str">
        <f>IFERROR(VLOOKUP(AQ24,'Tabelas SN'!$A$50:$J$55,10,FALSE)*AQ50,"-")</f>
        <v>-</v>
      </c>
      <c r="AR51" s="21" t="str">
        <f>IFERROR(VLOOKUP(AR24,'Tabelas SN'!$A$50:$J$55,10,FALSE)*AR50,"-")</f>
        <v>-</v>
      </c>
      <c r="AS51" s="21" t="str">
        <f>IFERROR(VLOOKUP(AS24,'Tabelas SN'!$A$50:$J$55,10,FALSE)*AS50,"-")</f>
        <v>-</v>
      </c>
      <c r="AT51" s="21" t="str">
        <f>IFERROR(VLOOKUP(AT24,'Tabelas SN'!$A$50:$J$55,10,FALSE)*AT50,"-")</f>
        <v>-</v>
      </c>
      <c r="AU51" s="21" t="str">
        <f>IFERROR(VLOOKUP(AU24,'Tabelas SN'!$A$50:$J$55,10,FALSE)*AU50,"-")</f>
        <v>-</v>
      </c>
      <c r="AV51" s="21" t="str">
        <f>IFERROR(VLOOKUP(AV24,'Tabelas SN'!$A$50:$J$55,10,FALSE)*AV50,"-")</f>
        <v>-</v>
      </c>
      <c r="AW51" s="21" t="str">
        <f>IFERROR(VLOOKUP(AW24,'Tabelas SN'!$A$50:$J$55,10,FALSE)*AW50,"-")</f>
        <v>-</v>
      </c>
      <c r="AX51" s="21" t="str">
        <f>IFERROR(VLOOKUP(AX24,'Tabelas SN'!$A$50:$J$55,10,FALSE)*AX50,"-")</f>
        <v>-</v>
      </c>
      <c r="AY51" s="21" t="str">
        <f>IFERROR(VLOOKUP(AY24,'Tabelas SN'!$A$50:$J$55,10,FALSE)*AY50,"-")</f>
        <v>-</v>
      </c>
      <c r="AZ51" s="21" t="str">
        <f>IFERROR(VLOOKUP(AZ24,'Tabelas SN'!$A$50:$J$55,10,FALSE)*AZ50,"-")</f>
        <v>-</v>
      </c>
      <c r="BA51" s="21" t="str">
        <f>IFERROR(VLOOKUP(BA24,'Tabelas SN'!$A$50:$J$55,10,FALSE)*BA50,"-")</f>
        <v>-</v>
      </c>
      <c r="BB51" s="21" t="str">
        <f>IFERROR(VLOOKUP(BB24,'Tabelas SN'!$A$50:$J$55,10,FALSE)*BB50,"-")</f>
        <v>-</v>
      </c>
      <c r="BC51" s="21" t="str">
        <f>IFERROR(VLOOKUP(BC24,'Tabelas SN'!$A$50:$J$55,10,FALSE)*BC50,"-")</f>
        <v>-</v>
      </c>
      <c r="BD51" s="21" t="str">
        <f>IFERROR(VLOOKUP(BD24,'Tabelas SN'!$A$50:$J$55,10,FALSE)*BD50,"-")</f>
        <v>-</v>
      </c>
      <c r="BE51" s="21" t="str">
        <f>IFERROR(VLOOKUP(BE24,'Tabelas SN'!$A$50:$J$55,10,FALSE)*BE50,"-")</f>
        <v>-</v>
      </c>
      <c r="BF51" s="21" t="str">
        <f>IFERROR(VLOOKUP(BF24,'Tabelas SN'!$A$50:$J$55,10,FALSE)*BF50,"-")</f>
        <v>-</v>
      </c>
      <c r="BG51" s="21" t="str">
        <f>IFERROR(VLOOKUP(BG24,'Tabelas SN'!$A$50:$J$55,10,FALSE)*BG50,"-")</f>
        <v>-</v>
      </c>
      <c r="BH51" s="21" t="str">
        <f>IFERROR(VLOOKUP(BH24,'Tabelas SN'!$A$50:$J$55,10,FALSE)*BH50,"-")</f>
        <v>-</v>
      </c>
      <c r="BI51" s="21" t="str">
        <f>IFERROR(VLOOKUP(BI24,'Tabelas SN'!$A$50:$J$55,10,FALSE)*BI50,"-")</f>
        <v>-</v>
      </c>
      <c r="BJ51" s="21" t="str">
        <f>IFERROR(VLOOKUP(BJ24,'Tabelas SN'!$A$50:$J$55,10,FALSE)*BJ50,"-")</f>
        <v>-</v>
      </c>
      <c r="BK51" s="21" t="str">
        <f>IFERROR(VLOOKUP(BK24,'Tabelas SN'!$A$50:$J$55,10,FALSE)*BK50,"-")</f>
        <v>-</v>
      </c>
      <c r="BL51" s="21" t="str">
        <f>IFERROR(VLOOKUP(BL24,'Tabelas SN'!$A$50:$J$55,10,FALSE)*BL50,"-")</f>
        <v>-</v>
      </c>
      <c r="BM51" s="21" t="str">
        <f>IFERROR(VLOOKUP(BM24,'Tabelas SN'!$A$50:$J$55,10,FALSE)*BM50,"-")</f>
        <v>-</v>
      </c>
      <c r="BO51" s="19" t="s">
        <v>67</v>
      </c>
    </row>
    <row r="52" spans="2:67" outlineLevel="1" x14ac:dyDescent="0.25">
      <c r="B52" s="4" t="s">
        <v>43</v>
      </c>
      <c r="C52" s="1" t="str">
        <f t="shared" ref="C52:AH52" si="93">IFERROR(C50*C12,"-")</f>
        <v>-</v>
      </c>
      <c r="D52" s="1" t="str">
        <f t="shared" si="93"/>
        <v>-</v>
      </c>
      <c r="E52" s="1" t="str">
        <f t="shared" si="93"/>
        <v>-</v>
      </c>
      <c r="F52" s="1" t="str">
        <f t="shared" si="93"/>
        <v>-</v>
      </c>
      <c r="G52" s="1" t="str">
        <f t="shared" si="93"/>
        <v>-</v>
      </c>
      <c r="H52" s="1" t="str">
        <f t="shared" si="93"/>
        <v>-</v>
      </c>
      <c r="I52" s="1" t="str">
        <f t="shared" si="93"/>
        <v>-</v>
      </c>
      <c r="J52" s="1" t="str">
        <f t="shared" si="93"/>
        <v>-</v>
      </c>
      <c r="K52" s="1" t="str">
        <f t="shared" si="93"/>
        <v>-</v>
      </c>
      <c r="L52" s="1" t="str">
        <f t="shared" si="93"/>
        <v>-</v>
      </c>
      <c r="M52" s="1" t="str">
        <f t="shared" si="93"/>
        <v>-</v>
      </c>
      <c r="N52" s="1" t="str">
        <f t="shared" si="93"/>
        <v>-</v>
      </c>
      <c r="O52" s="1" t="str">
        <f t="shared" si="93"/>
        <v>-</v>
      </c>
      <c r="P52" s="1" t="str">
        <f t="shared" si="93"/>
        <v>-</v>
      </c>
      <c r="Q52" s="1" t="str">
        <f t="shared" si="93"/>
        <v>-</v>
      </c>
      <c r="R52" s="1" t="str">
        <f t="shared" si="93"/>
        <v>-</v>
      </c>
      <c r="S52" s="1" t="str">
        <f t="shared" si="93"/>
        <v>-</v>
      </c>
      <c r="T52" s="1" t="str">
        <f t="shared" si="93"/>
        <v>-</v>
      </c>
      <c r="U52" s="1" t="str">
        <f t="shared" si="93"/>
        <v>-</v>
      </c>
      <c r="V52" s="1" t="str">
        <f t="shared" si="93"/>
        <v>-</v>
      </c>
      <c r="W52" s="1" t="str">
        <f t="shared" si="93"/>
        <v>-</v>
      </c>
      <c r="X52" s="1" t="str">
        <f t="shared" si="93"/>
        <v>-</v>
      </c>
      <c r="Y52" s="1" t="str">
        <f t="shared" si="93"/>
        <v>-</v>
      </c>
      <c r="Z52" s="1" t="str">
        <f t="shared" si="93"/>
        <v>-</v>
      </c>
      <c r="AA52" s="1" t="str">
        <f t="shared" si="93"/>
        <v>-</v>
      </c>
      <c r="AB52" s="1" t="str">
        <f t="shared" si="93"/>
        <v>-</v>
      </c>
      <c r="AC52" s="1" t="str">
        <f t="shared" si="93"/>
        <v>-</v>
      </c>
      <c r="AD52" s="1" t="str">
        <f t="shared" si="93"/>
        <v>-</v>
      </c>
      <c r="AE52" s="1" t="str">
        <f t="shared" si="93"/>
        <v>-</v>
      </c>
      <c r="AF52" s="1" t="str">
        <f t="shared" si="93"/>
        <v>-</v>
      </c>
      <c r="AG52" s="1" t="str">
        <f t="shared" si="93"/>
        <v>-</v>
      </c>
      <c r="AH52" s="1" t="str">
        <f t="shared" si="93"/>
        <v>-</v>
      </c>
      <c r="AI52" s="1" t="str">
        <f t="shared" ref="AI52:BM52" si="94">IFERROR(AI50*AI12,"-")</f>
        <v>-</v>
      </c>
      <c r="AJ52" s="1" t="str">
        <f t="shared" si="94"/>
        <v>-</v>
      </c>
      <c r="AK52" s="1" t="str">
        <f t="shared" si="94"/>
        <v>-</v>
      </c>
      <c r="AL52" s="1" t="str">
        <f t="shared" si="94"/>
        <v>-</v>
      </c>
      <c r="AM52" s="1" t="str">
        <f t="shared" si="94"/>
        <v>-</v>
      </c>
      <c r="AN52" s="1" t="str">
        <f t="shared" si="94"/>
        <v>-</v>
      </c>
      <c r="AO52" s="1" t="str">
        <f t="shared" si="94"/>
        <v>-</v>
      </c>
      <c r="AP52" s="1" t="str">
        <f t="shared" si="94"/>
        <v>-</v>
      </c>
      <c r="AQ52" s="1" t="str">
        <f t="shared" si="94"/>
        <v>-</v>
      </c>
      <c r="AR52" s="1" t="str">
        <f t="shared" si="94"/>
        <v>-</v>
      </c>
      <c r="AS52" s="1" t="str">
        <f t="shared" si="94"/>
        <v>-</v>
      </c>
      <c r="AT52" s="1" t="str">
        <f t="shared" si="94"/>
        <v>-</v>
      </c>
      <c r="AU52" s="1" t="str">
        <f t="shared" si="94"/>
        <v>-</v>
      </c>
      <c r="AV52" s="1" t="str">
        <f t="shared" si="94"/>
        <v>-</v>
      </c>
      <c r="AW52" s="1" t="str">
        <f t="shared" si="94"/>
        <v>-</v>
      </c>
      <c r="AX52" s="1" t="str">
        <f t="shared" si="94"/>
        <v>-</v>
      </c>
      <c r="AY52" s="1" t="str">
        <f t="shared" si="94"/>
        <v>-</v>
      </c>
      <c r="AZ52" s="1" t="str">
        <f t="shared" si="94"/>
        <v>-</v>
      </c>
      <c r="BA52" s="1" t="str">
        <f t="shared" si="94"/>
        <v>-</v>
      </c>
      <c r="BB52" s="1" t="str">
        <f t="shared" si="94"/>
        <v>-</v>
      </c>
      <c r="BC52" s="1" t="str">
        <f t="shared" si="94"/>
        <v>-</v>
      </c>
      <c r="BD52" s="1" t="str">
        <f t="shared" si="94"/>
        <v>-</v>
      </c>
      <c r="BE52" s="1" t="str">
        <f t="shared" si="94"/>
        <v>-</v>
      </c>
      <c r="BF52" s="1" t="str">
        <f t="shared" si="94"/>
        <v>-</v>
      </c>
      <c r="BG52" s="1" t="str">
        <f t="shared" si="94"/>
        <v>-</v>
      </c>
      <c r="BH52" s="1" t="str">
        <f t="shared" si="94"/>
        <v>-</v>
      </c>
      <c r="BI52" s="1" t="str">
        <f t="shared" si="94"/>
        <v>-</v>
      </c>
      <c r="BJ52" s="1" t="str">
        <f t="shared" si="94"/>
        <v>-</v>
      </c>
      <c r="BK52" s="1" t="str">
        <f t="shared" si="94"/>
        <v>-</v>
      </c>
      <c r="BL52" s="1" t="str">
        <f t="shared" si="94"/>
        <v>-</v>
      </c>
      <c r="BM52" s="1" t="str">
        <f t="shared" si="94"/>
        <v>-</v>
      </c>
      <c r="BO52" s="19" t="s">
        <v>67</v>
      </c>
    </row>
    <row r="53" spans="2:67" outlineLevel="1" x14ac:dyDescent="0.25">
      <c r="B53" s="4" t="s">
        <v>83</v>
      </c>
      <c r="C53" s="1">
        <f>IF(C24="6a Faixa",((VLOOKUP("5a Faixa",'Tabelas SN'!$A$2:$D$7,3,FALSE)*C30-VLOOKUP("5a Faixa",'Tabelas SN'!$A$2:$D$7,4,FALSE))/C30)*SUM(C7,C10,C12)*0.335,0)</f>
        <v>0</v>
      </c>
      <c r="D53" s="1">
        <f>IF(D24="6a Faixa",((VLOOKUP("5a Faixa",'Tabelas SN'!$A$2:$D$7,3,FALSE)*D30-VLOOKUP("5a Faixa",'Tabelas SN'!$A$2:$D$7,4,FALSE))/D30)*SUM(D7,D10,D12)*0.335,0)</f>
        <v>0</v>
      </c>
      <c r="E53" s="1">
        <f>IF(E24="6a Faixa",((VLOOKUP("5a Faixa",'Tabelas SN'!$A$2:$D$7,3,FALSE)*E30-VLOOKUP("5a Faixa",'Tabelas SN'!$A$2:$D$7,4,FALSE))/E30)*SUM(E7,E10,E12)*0.335,0)</f>
        <v>0</v>
      </c>
      <c r="F53" s="1">
        <f>IF(F24="6a Faixa",((VLOOKUP("5a Faixa",'Tabelas SN'!$A$2:$D$7,3,FALSE)*F30-VLOOKUP("5a Faixa",'Tabelas SN'!$A$2:$D$7,4,FALSE))/F30)*SUM(F7,F10,F12)*0.335,0)</f>
        <v>0</v>
      </c>
      <c r="G53" s="1">
        <f>IF(G24="6a Faixa",((VLOOKUP("5a Faixa",'Tabelas SN'!$A$2:$D$7,3,FALSE)*G30-VLOOKUP("5a Faixa",'Tabelas SN'!$A$2:$D$7,4,FALSE))/G30)*SUM(G7,G10,G12)*0.335,0)</f>
        <v>0</v>
      </c>
      <c r="H53" s="1">
        <f>IF(H24="6a Faixa",((VLOOKUP("5a Faixa",'Tabelas SN'!$A$2:$D$7,3,FALSE)*H30-VLOOKUP("5a Faixa",'Tabelas SN'!$A$2:$D$7,4,FALSE))/H30)*SUM(H7,H10,H12)*0.335,0)</f>
        <v>0</v>
      </c>
      <c r="I53" s="1">
        <f>IF(I24="6a Faixa",((VLOOKUP("5a Faixa",'Tabelas SN'!$A$2:$D$7,3,FALSE)*I30-VLOOKUP("5a Faixa",'Tabelas SN'!$A$2:$D$7,4,FALSE))/I30)*SUM(I7,I10,I12)*0.335,0)</f>
        <v>0</v>
      </c>
      <c r="J53" s="1">
        <f>IF(J24="6a Faixa",((VLOOKUP("5a Faixa",'Tabelas SN'!$A$2:$D$7,3,FALSE)*J30-VLOOKUP("5a Faixa",'Tabelas SN'!$A$2:$D$7,4,FALSE))/J30)*SUM(J7,J10,J12)*0.335,0)</f>
        <v>0</v>
      </c>
      <c r="K53" s="1">
        <f>IF(K24="6a Faixa",((VLOOKUP("5a Faixa",'Tabelas SN'!$A$2:$D$7,3,FALSE)*K30-VLOOKUP("5a Faixa",'Tabelas SN'!$A$2:$D$7,4,FALSE))/K30)*SUM(K7,K10,K12)*0.335,0)</f>
        <v>0</v>
      </c>
      <c r="L53" s="1">
        <f>IF(L24="6a Faixa",((VLOOKUP("5a Faixa",'Tabelas SN'!$A$2:$D$7,3,FALSE)*L30-VLOOKUP("5a Faixa",'Tabelas SN'!$A$2:$D$7,4,FALSE))/L30)*SUM(L7,L10,L12)*0.335,0)</f>
        <v>0</v>
      </c>
      <c r="M53" s="1">
        <f>IF(M24="6a Faixa",((VLOOKUP("5a Faixa",'Tabelas SN'!$A$2:$D$7,3,FALSE)*M30-VLOOKUP("5a Faixa",'Tabelas SN'!$A$2:$D$7,4,FALSE))/M30)*SUM(M7,M10,M12)*0.335,0)</f>
        <v>0</v>
      </c>
      <c r="N53" s="1">
        <f>IF(N24="6a Faixa",((VLOOKUP("5a Faixa",'Tabelas SN'!$A$2:$D$7,3,FALSE)*N30-VLOOKUP("5a Faixa",'Tabelas SN'!$A$2:$D$7,4,FALSE))/N30)*SUM(N7,N10,N12)*0.335,0)</f>
        <v>0</v>
      </c>
      <c r="O53" s="1">
        <f>IF(O24="6a Faixa",((VLOOKUP("5a Faixa",'Tabelas SN'!$A$2:$D$7,3,FALSE)*O30-VLOOKUP("5a Faixa",'Tabelas SN'!$A$2:$D$7,4,FALSE))/O30)*SUM(O7,O10,O12)*0.335,0)</f>
        <v>0</v>
      </c>
      <c r="P53" s="1">
        <f>IF(P24="6a Faixa",((VLOOKUP("5a Faixa",'Tabelas SN'!$A$2:$D$7,3,FALSE)*P30-VLOOKUP("5a Faixa",'Tabelas SN'!$A$2:$D$7,4,FALSE))/P30)*SUM(P7,P10,P12)*0.335,0)</f>
        <v>0</v>
      </c>
      <c r="Q53" s="1">
        <f>IF(Q24="6a Faixa",((VLOOKUP("5a Faixa",'Tabelas SN'!$A$2:$D$7,3,FALSE)*Q30-VLOOKUP("5a Faixa",'Tabelas SN'!$A$2:$D$7,4,FALSE))/Q30)*SUM(Q7,Q10,Q12)*0.335,0)</f>
        <v>0</v>
      </c>
      <c r="R53" s="1">
        <f>IF(R24="6a Faixa",((VLOOKUP("5a Faixa",'Tabelas SN'!$A$2:$D$7,3,FALSE)*R30-VLOOKUP("5a Faixa",'Tabelas SN'!$A$2:$D$7,4,FALSE))/R30)*SUM(R7,R10,R12)*0.335,0)</f>
        <v>0</v>
      </c>
      <c r="S53" s="1">
        <f>IF(S24="6a Faixa",((VLOOKUP("5a Faixa",'Tabelas SN'!$A$2:$D$7,3,FALSE)*S30-VLOOKUP("5a Faixa",'Tabelas SN'!$A$2:$D$7,4,FALSE))/S30)*SUM(S7,S10,S12)*0.335,0)</f>
        <v>0</v>
      </c>
      <c r="T53" s="1">
        <f>IF(T24="6a Faixa",((VLOOKUP("5a Faixa",'Tabelas SN'!$A$2:$D$7,3,FALSE)*T30-VLOOKUP("5a Faixa",'Tabelas SN'!$A$2:$D$7,4,FALSE))/T30)*SUM(T7,T10,T12)*0.335,0)</f>
        <v>0</v>
      </c>
      <c r="U53" s="1">
        <f>IF(U24="6a Faixa",((VLOOKUP("5a Faixa",'Tabelas SN'!$A$2:$D$7,3,FALSE)*U30-VLOOKUP("5a Faixa",'Tabelas SN'!$A$2:$D$7,4,FALSE))/U30)*SUM(U7,U10,U12)*0.335,0)</f>
        <v>0</v>
      </c>
      <c r="V53" s="1">
        <f>IF(V24="6a Faixa",((VLOOKUP("5a Faixa",'Tabelas SN'!$A$2:$D$7,3,FALSE)*V30-VLOOKUP("5a Faixa",'Tabelas SN'!$A$2:$D$7,4,FALSE))/V30)*SUM(V7,V10,V12)*0.335,0)</f>
        <v>0</v>
      </c>
      <c r="W53" s="1">
        <f>IF(W24="6a Faixa",((VLOOKUP("5a Faixa",'Tabelas SN'!$A$2:$D$7,3,FALSE)*W30-VLOOKUP("5a Faixa",'Tabelas SN'!$A$2:$D$7,4,FALSE))/W30)*SUM(W7,W10,W12)*0.335,0)</f>
        <v>0</v>
      </c>
      <c r="X53" s="1">
        <f>IF(X24="6a Faixa",((VLOOKUP("5a Faixa",'Tabelas SN'!$A$2:$D$7,3,FALSE)*X30-VLOOKUP("5a Faixa",'Tabelas SN'!$A$2:$D$7,4,FALSE))/X30)*SUM(X7,X10,X12)*0.335,0)</f>
        <v>0</v>
      </c>
      <c r="Y53" s="1">
        <f>IF(Y24="6a Faixa",((VLOOKUP("5a Faixa",'Tabelas SN'!$A$2:$D$7,3,FALSE)*Y30-VLOOKUP("5a Faixa",'Tabelas SN'!$A$2:$D$7,4,FALSE))/Y30)*SUM(Y7,Y10,Y12)*0.335,0)</f>
        <v>0</v>
      </c>
      <c r="Z53" s="1">
        <f>IF(Z24="6a Faixa",((VLOOKUP("5a Faixa",'Tabelas SN'!$A$2:$D$7,3,FALSE)*Z30-VLOOKUP("5a Faixa",'Tabelas SN'!$A$2:$D$7,4,FALSE))/Z30)*SUM(Z7,Z10,Z12)*0.335,0)</f>
        <v>0</v>
      </c>
      <c r="AA53" s="1">
        <f>IF(AA24="6a Faixa",((VLOOKUP("5a Faixa",'Tabelas SN'!$A$2:$D$7,3,FALSE)*AA30-VLOOKUP("5a Faixa",'Tabelas SN'!$A$2:$D$7,4,FALSE))/AA30)*SUM(AA7,AA10,AA12)*0.335,0)</f>
        <v>0</v>
      </c>
      <c r="AB53" s="1">
        <f>IF(AB24="6a Faixa",((VLOOKUP("5a Faixa",'Tabelas SN'!$A$2:$D$7,3,FALSE)*AB30-VLOOKUP("5a Faixa",'Tabelas SN'!$A$2:$D$7,4,FALSE))/AB30)*SUM(AB7,AB10,AB12)*0.335,0)</f>
        <v>0</v>
      </c>
      <c r="AC53" s="1">
        <f>IF(AC24="6a Faixa",((VLOOKUP("5a Faixa",'Tabelas SN'!$A$2:$D$7,3,FALSE)*AC30-VLOOKUP("5a Faixa",'Tabelas SN'!$A$2:$D$7,4,FALSE))/AC30)*SUM(AC7,AC10,AC12)*0.335,0)</f>
        <v>0</v>
      </c>
      <c r="AD53" s="1">
        <f>IF(AD24="6a Faixa",((VLOOKUP("5a Faixa",'Tabelas SN'!$A$2:$D$7,3,FALSE)*AD30-VLOOKUP("5a Faixa",'Tabelas SN'!$A$2:$D$7,4,FALSE))/AD30)*SUM(AD7,AD10,AD12)*0.335,0)</f>
        <v>0</v>
      </c>
      <c r="AE53" s="1">
        <f>IF(AE24="6a Faixa",((VLOOKUP("5a Faixa",'Tabelas SN'!$A$2:$D$7,3,FALSE)*AE30-VLOOKUP("5a Faixa",'Tabelas SN'!$A$2:$D$7,4,FALSE))/AE30)*SUM(AE7,AE10,AE12)*0.335,0)</f>
        <v>0</v>
      </c>
      <c r="AF53" s="1">
        <f>IF(AF24="6a Faixa",((VLOOKUP("5a Faixa",'Tabelas SN'!$A$2:$D$7,3,FALSE)*AF30-VLOOKUP("5a Faixa",'Tabelas SN'!$A$2:$D$7,4,FALSE))/AF30)*SUM(AF7,AF10,AF12)*0.335,0)</f>
        <v>0</v>
      </c>
      <c r="AG53" s="1">
        <f>IF(AG24="6a Faixa",((VLOOKUP("5a Faixa",'Tabelas SN'!$A$2:$D$7,3,FALSE)*AG30-VLOOKUP("5a Faixa",'Tabelas SN'!$A$2:$D$7,4,FALSE))/AG30)*SUM(AG7,AG10,AG12)*0.335,0)</f>
        <v>0</v>
      </c>
      <c r="AH53" s="1">
        <f>IF(AH24="6a Faixa",((VLOOKUP("5a Faixa",'Tabelas SN'!$A$2:$D$7,3,FALSE)*AH30-VLOOKUP("5a Faixa",'Tabelas SN'!$A$2:$D$7,4,FALSE))/AH30)*SUM(AH7,AH10,AH12)*0.335,0)</f>
        <v>0</v>
      </c>
      <c r="AI53" s="1">
        <f>IF(AI24="6a Faixa",((VLOOKUP("5a Faixa",'Tabelas SN'!$A$2:$D$7,3,FALSE)*AI30-VLOOKUP("5a Faixa",'Tabelas SN'!$A$2:$D$7,4,FALSE))/AI30)*SUM(AI7,AI10,AI12)*0.335,0)</f>
        <v>0</v>
      </c>
      <c r="AJ53" s="1">
        <f>IF(AJ24="6a Faixa",((VLOOKUP("5a Faixa",'Tabelas SN'!$A$2:$D$7,3,FALSE)*AJ30-VLOOKUP("5a Faixa",'Tabelas SN'!$A$2:$D$7,4,FALSE))/AJ30)*SUM(AJ7,AJ10,AJ12)*0.335,0)</f>
        <v>0</v>
      </c>
      <c r="AK53" s="1">
        <f>IF(AK24="6a Faixa",((VLOOKUP("5a Faixa",'Tabelas SN'!$A$2:$D$7,3,FALSE)*AK30-VLOOKUP("5a Faixa",'Tabelas SN'!$A$2:$D$7,4,FALSE))/AK30)*SUM(AK7,AK10,AK12)*0.335,0)</f>
        <v>0</v>
      </c>
      <c r="AL53" s="1">
        <f>IF(AL24="6a Faixa",((VLOOKUP("5a Faixa",'Tabelas SN'!$A$2:$D$7,3,FALSE)*AL30-VLOOKUP("5a Faixa",'Tabelas SN'!$A$2:$D$7,4,FALSE))/AL30)*SUM(AL7,AL10,AL12)*0.335,0)</f>
        <v>0</v>
      </c>
      <c r="AM53" s="1">
        <f>IF(AM24="6a Faixa",((VLOOKUP("5a Faixa",'Tabelas SN'!$A$2:$D$7,3,FALSE)*AM30-VLOOKUP("5a Faixa",'Tabelas SN'!$A$2:$D$7,4,FALSE))/AM30)*SUM(AM7,AM10,AM12)*0.335,0)</f>
        <v>0</v>
      </c>
      <c r="AN53" s="1">
        <f>IF(AN24="6a Faixa",((VLOOKUP("5a Faixa",'Tabelas SN'!$A$2:$D$7,3,FALSE)*AN30-VLOOKUP("5a Faixa",'Tabelas SN'!$A$2:$D$7,4,FALSE))/AN30)*SUM(AN7,AN10,AN12)*0.335,0)</f>
        <v>0</v>
      </c>
      <c r="AO53" s="1">
        <f>IF(AO24="6a Faixa",((VLOOKUP("5a Faixa",'Tabelas SN'!$A$2:$D$7,3,FALSE)*AO30-VLOOKUP("5a Faixa",'Tabelas SN'!$A$2:$D$7,4,FALSE))/AO30)*SUM(AO7,AO10,AO12)*0.335,0)</f>
        <v>0</v>
      </c>
      <c r="AP53" s="1">
        <f>IF(AP24="6a Faixa",((VLOOKUP("5a Faixa",'Tabelas SN'!$A$2:$D$7,3,FALSE)*AP30-VLOOKUP("5a Faixa",'Tabelas SN'!$A$2:$D$7,4,FALSE))/AP30)*SUM(AP7,AP10,AP12)*0.335,0)</f>
        <v>0</v>
      </c>
      <c r="AQ53" s="1">
        <f>IF(AQ24="6a Faixa",((VLOOKUP("5a Faixa",'Tabelas SN'!$A$2:$D$7,3,FALSE)*AQ30-VLOOKUP("5a Faixa",'Tabelas SN'!$A$2:$D$7,4,FALSE))/AQ30)*SUM(AQ7,AQ10,AQ12)*0.335,0)</f>
        <v>0</v>
      </c>
      <c r="AR53" s="1">
        <f>IF(AR24="6a Faixa",((VLOOKUP("5a Faixa",'Tabelas SN'!$A$2:$D$7,3,FALSE)*AR30-VLOOKUP("5a Faixa",'Tabelas SN'!$A$2:$D$7,4,FALSE))/AR30)*SUM(AR7,AR10,AR12)*0.335,0)</f>
        <v>0</v>
      </c>
      <c r="AS53" s="1">
        <f>IF(AS24="6a Faixa",((VLOOKUP("5a Faixa",'Tabelas SN'!$A$2:$D$7,3,FALSE)*AS30-VLOOKUP("5a Faixa",'Tabelas SN'!$A$2:$D$7,4,FALSE))/AS30)*SUM(AS7,AS10,AS12)*0.335,0)</f>
        <v>0</v>
      </c>
      <c r="AT53" s="1">
        <f>IF(AT24="6a Faixa",((VLOOKUP("5a Faixa",'Tabelas SN'!$A$2:$D$7,3,FALSE)*AT30-VLOOKUP("5a Faixa",'Tabelas SN'!$A$2:$D$7,4,FALSE))/AT30)*SUM(AT7,AT10,AT12)*0.335,0)</f>
        <v>0</v>
      </c>
      <c r="AU53" s="1">
        <f>IF(AU24="6a Faixa",((VLOOKUP("5a Faixa",'Tabelas SN'!$A$2:$D$7,3,FALSE)*AU30-VLOOKUP("5a Faixa",'Tabelas SN'!$A$2:$D$7,4,FALSE))/AU30)*SUM(AU7,AU10,AU12)*0.335,0)</f>
        <v>0</v>
      </c>
      <c r="AV53" s="1">
        <f>IF(AV24="6a Faixa",((VLOOKUP("5a Faixa",'Tabelas SN'!$A$2:$D$7,3,FALSE)*AV30-VLOOKUP("5a Faixa",'Tabelas SN'!$A$2:$D$7,4,FALSE))/AV30)*SUM(AV7,AV10,AV12)*0.335,0)</f>
        <v>0</v>
      </c>
      <c r="AW53" s="1">
        <f>IF(AW24="6a Faixa",((VLOOKUP("5a Faixa",'Tabelas SN'!$A$2:$D$7,3,FALSE)*AW30-VLOOKUP("5a Faixa",'Tabelas SN'!$A$2:$D$7,4,FALSE))/AW30)*SUM(AW7,AW10,AW12)*0.335,0)</f>
        <v>0</v>
      </c>
      <c r="AX53" s="1">
        <f>IF(AX24="6a Faixa",((VLOOKUP("5a Faixa",'Tabelas SN'!$A$2:$D$7,3,FALSE)*AX30-VLOOKUP("5a Faixa",'Tabelas SN'!$A$2:$D$7,4,FALSE))/AX30)*SUM(AX7,AX10,AX12)*0.335,0)</f>
        <v>0</v>
      </c>
      <c r="AY53" s="1">
        <f>IF(AY24="6a Faixa",((VLOOKUP("5a Faixa",'Tabelas SN'!$A$2:$D$7,3,FALSE)*AY30-VLOOKUP("5a Faixa",'Tabelas SN'!$A$2:$D$7,4,FALSE))/AY30)*SUM(AY7,AY10,AY12)*0.335,0)</f>
        <v>0</v>
      </c>
      <c r="AZ53" s="1">
        <f>IF(AZ24="6a Faixa",((VLOOKUP("5a Faixa",'Tabelas SN'!$A$2:$D$7,3,FALSE)*AZ30-VLOOKUP("5a Faixa",'Tabelas SN'!$A$2:$D$7,4,FALSE))/AZ30)*SUM(AZ7,AZ10,AZ12)*0.335,0)</f>
        <v>0</v>
      </c>
      <c r="BA53" s="1">
        <f>IF(BA24="6a Faixa",((VLOOKUP("5a Faixa",'Tabelas SN'!$A$2:$D$7,3,FALSE)*BA30-VLOOKUP("5a Faixa",'Tabelas SN'!$A$2:$D$7,4,FALSE))/BA30)*SUM(BA7,BA10,BA12)*0.335,0)</f>
        <v>0</v>
      </c>
      <c r="BB53" s="1">
        <f>IF(BB24="6a Faixa",((VLOOKUP("5a Faixa",'Tabelas SN'!$A$2:$D$7,3,FALSE)*BB30-VLOOKUP("5a Faixa",'Tabelas SN'!$A$2:$D$7,4,FALSE))/BB30)*SUM(BB7,BB10,BB12)*0.335,0)</f>
        <v>0</v>
      </c>
      <c r="BC53" s="1">
        <f>IF(BC24="6a Faixa",((VLOOKUP("5a Faixa",'Tabelas SN'!$A$2:$D$7,3,FALSE)*BC30-VLOOKUP("5a Faixa",'Tabelas SN'!$A$2:$D$7,4,FALSE))/BC30)*SUM(BC7,BC10,BC12)*0.335,0)</f>
        <v>0</v>
      </c>
      <c r="BD53" s="1">
        <f>IF(BD24="6a Faixa",((VLOOKUP("5a Faixa",'Tabelas SN'!$A$2:$D$7,3,FALSE)*BD30-VLOOKUP("5a Faixa",'Tabelas SN'!$A$2:$D$7,4,FALSE))/BD30)*SUM(BD7,BD10,BD12)*0.335,0)</f>
        <v>0</v>
      </c>
      <c r="BE53" s="1">
        <f>IF(BE24="6a Faixa",((VLOOKUP("5a Faixa",'Tabelas SN'!$A$2:$D$7,3,FALSE)*BE30-VLOOKUP("5a Faixa",'Tabelas SN'!$A$2:$D$7,4,FALSE))/BE30)*SUM(BE7,BE10,BE12)*0.335,0)</f>
        <v>0</v>
      </c>
      <c r="BF53" s="1">
        <f>IF(BF24="6a Faixa",((VLOOKUP("5a Faixa",'Tabelas SN'!$A$2:$D$7,3,FALSE)*BF30-VLOOKUP("5a Faixa",'Tabelas SN'!$A$2:$D$7,4,FALSE))/BF30)*SUM(BF7,BF10,BF12)*0.335,0)</f>
        <v>0</v>
      </c>
      <c r="BG53" s="1">
        <f>IF(BG24="6a Faixa",((VLOOKUP("5a Faixa",'Tabelas SN'!$A$2:$D$7,3,FALSE)*BG30-VLOOKUP("5a Faixa",'Tabelas SN'!$A$2:$D$7,4,FALSE))/BG30)*SUM(BG7,BG10,BG12)*0.335,0)</f>
        <v>0</v>
      </c>
      <c r="BH53" s="1">
        <f>IF(BH24="6a Faixa",((VLOOKUP("5a Faixa",'Tabelas SN'!$A$2:$D$7,3,FALSE)*BH30-VLOOKUP("5a Faixa",'Tabelas SN'!$A$2:$D$7,4,FALSE))/BH30)*SUM(BH7,BH10,BH12)*0.335,0)</f>
        <v>0</v>
      </c>
      <c r="BI53" s="1">
        <f>IF(BI24="6a Faixa",((VLOOKUP("5a Faixa",'Tabelas SN'!$A$2:$D$7,3,FALSE)*BI30-VLOOKUP("5a Faixa",'Tabelas SN'!$A$2:$D$7,4,FALSE))/BI30)*SUM(BI7,BI10,BI12)*0.335,0)</f>
        <v>0</v>
      </c>
      <c r="BJ53" s="1">
        <f>IF(BJ24="6a Faixa",((VLOOKUP("5a Faixa",'Tabelas SN'!$A$2:$D$7,3,FALSE)*BJ30-VLOOKUP("5a Faixa",'Tabelas SN'!$A$2:$D$7,4,FALSE))/BJ30)*SUM(BJ7,BJ10,BJ12)*0.335,0)</f>
        <v>0</v>
      </c>
      <c r="BK53" s="1">
        <f>IF(BK24="6a Faixa",((VLOOKUP("5a Faixa",'Tabelas SN'!$A$2:$D$7,3,FALSE)*BK30-VLOOKUP("5a Faixa",'Tabelas SN'!$A$2:$D$7,4,FALSE))/BK30)*SUM(BK7,BK10,BK12)*0.335,0)</f>
        <v>0</v>
      </c>
      <c r="BL53" s="1">
        <f>IF(BL24="6a Faixa",((VLOOKUP("5a Faixa",'Tabelas SN'!$A$2:$D$7,3,FALSE)*BL30-VLOOKUP("5a Faixa",'Tabelas SN'!$A$2:$D$7,4,FALSE))/BL30)*SUM(BL7,BL10,BL12)*0.335,0)</f>
        <v>0</v>
      </c>
      <c r="BM53" s="1">
        <f>IF(BM24="6a Faixa",((VLOOKUP("5a Faixa",'Tabelas SN'!$A$2:$D$7,3,FALSE)*BM30-VLOOKUP("5a Faixa",'Tabelas SN'!$A$2:$D$7,4,FALSE))/BM30)*SUM(BM7,BM10,BM12)*0.335,0)</f>
        <v>0</v>
      </c>
      <c r="BO53" s="19" t="s">
        <v>67</v>
      </c>
    </row>
    <row r="54" spans="2:67" outlineLevel="1" x14ac:dyDescent="0.25">
      <c r="B54" s="18" t="s">
        <v>85</v>
      </c>
      <c r="C54" s="23">
        <f>VLOOKUP(C24,'Tabelas SN'!$A$60:$D$65,3,FALSE)</f>
        <v>0.06</v>
      </c>
      <c r="D54" s="23">
        <f>VLOOKUP(D24,'Tabelas SN'!$A$60:$D$65,3,FALSE)</f>
        <v>0.06</v>
      </c>
      <c r="E54" s="23">
        <f>VLOOKUP(E24,'Tabelas SN'!$A$60:$D$65,3,FALSE)</f>
        <v>0.06</v>
      </c>
      <c r="F54" s="23">
        <f>VLOOKUP(F24,'Tabelas SN'!$A$60:$D$65,3,FALSE)</f>
        <v>0.06</v>
      </c>
      <c r="G54" s="23">
        <f>VLOOKUP(G24,'Tabelas SN'!$A$60:$D$65,3,FALSE)</f>
        <v>0.06</v>
      </c>
      <c r="H54" s="23">
        <f>VLOOKUP(H24,'Tabelas SN'!$A$60:$D$65,3,FALSE)</f>
        <v>0.06</v>
      </c>
      <c r="I54" s="23">
        <f>VLOOKUP(I24,'Tabelas SN'!$A$60:$D$65,3,FALSE)</f>
        <v>0.06</v>
      </c>
      <c r="J54" s="23">
        <f>VLOOKUP(J24,'Tabelas SN'!$A$60:$D$65,3,FALSE)</f>
        <v>0.06</v>
      </c>
      <c r="K54" s="23">
        <f>VLOOKUP(K24,'Tabelas SN'!$A$60:$D$65,3,FALSE)</f>
        <v>0.06</v>
      </c>
      <c r="L54" s="23">
        <f>VLOOKUP(L24,'Tabelas SN'!$A$60:$D$65,3,FALSE)</f>
        <v>0.06</v>
      </c>
      <c r="M54" s="23">
        <f>VLOOKUP(M24,'Tabelas SN'!$A$60:$D$65,3,FALSE)</f>
        <v>0.06</v>
      </c>
      <c r="N54" s="23">
        <f>VLOOKUP(N24,'Tabelas SN'!$A$60:$D$65,3,FALSE)</f>
        <v>0.06</v>
      </c>
      <c r="O54" s="23">
        <f>VLOOKUP(O24,'Tabelas SN'!$A$60:$D$65,3,FALSE)</f>
        <v>0.06</v>
      </c>
      <c r="P54" s="23">
        <f>VLOOKUP(P24,'Tabelas SN'!$A$60:$D$65,3,FALSE)</f>
        <v>0.06</v>
      </c>
      <c r="Q54" s="23">
        <f>VLOOKUP(Q24,'Tabelas SN'!$A$60:$D$65,3,FALSE)</f>
        <v>0.06</v>
      </c>
      <c r="R54" s="23">
        <f>VLOOKUP(R24,'Tabelas SN'!$A$60:$D$65,3,FALSE)</f>
        <v>0.06</v>
      </c>
      <c r="S54" s="23">
        <f>VLOOKUP(S24,'Tabelas SN'!$A$60:$D$65,3,FALSE)</f>
        <v>0.06</v>
      </c>
      <c r="T54" s="23">
        <f>VLOOKUP(T24,'Tabelas SN'!$A$60:$D$65,3,FALSE)</f>
        <v>0.06</v>
      </c>
      <c r="U54" s="23">
        <f>VLOOKUP(U24,'Tabelas SN'!$A$60:$D$65,3,FALSE)</f>
        <v>0.06</v>
      </c>
      <c r="V54" s="23">
        <f>VLOOKUP(V24,'Tabelas SN'!$A$60:$D$65,3,FALSE)</f>
        <v>0.06</v>
      </c>
      <c r="W54" s="23">
        <f>VLOOKUP(W24,'Tabelas SN'!$A$60:$D$65,3,FALSE)</f>
        <v>0.06</v>
      </c>
      <c r="X54" s="23">
        <f>VLOOKUP(X24,'Tabelas SN'!$A$60:$D$65,3,FALSE)</f>
        <v>0.06</v>
      </c>
      <c r="Y54" s="23">
        <f>VLOOKUP(Y24,'Tabelas SN'!$A$60:$D$65,3,FALSE)</f>
        <v>0.06</v>
      </c>
      <c r="Z54" s="23">
        <f>VLOOKUP(Z24,'Tabelas SN'!$A$60:$D$65,3,FALSE)</f>
        <v>0.06</v>
      </c>
      <c r="AA54" s="23">
        <f>VLOOKUP(AA24,'Tabelas SN'!$A$60:$D$65,3,FALSE)</f>
        <v>0.06</v>
      </c>
      <c r="AB54" s="23">
        <f>VLOOKUP(AB24,'Tabelas SN'!$A$60:$D$65,3,FALSE)</f>
        <v>0.06</v>
      </c>
      <c r="AC54" s="23">
        <f>VLOOKUP(AC24,'Tabelas SN'!$A$60:$D$65,3,FALSE)</f>
        <v>0.06</v>
      </c>
      <c r="AD54" s="23">
        <f>VLOOKUP(AD24,'Tabelas SN'!$A$60:$D$65,3,FALSE)</f>
        <v>0.06</v>
      </c>
      <c r="AE54" s="23">
        <f>VLOOKUP(AE24,'Tabelas SN'!$A$60:$D$65,3,FALSE)</f>
        <v>0.06</v>
      </c>
      <c r="AF54" s="23">
        <f>VLOOKUP(AF24,'Tabelas SN'!$A$60:$D$65,3,FALSE)</f>
        <v>0.06</v>
      </c>
      <c r="AG54" s="23">
        <f>VLOOKUP(AG24,'Tabelas SN'!$A$60:$D$65,3,FALSE)</f>
        <v>0.06</v>
      </c>
      <c r="AH54" s="23">
        <f>VLOOKUP(AH24,'Tabelas SN'!$A$60:$D$65,3,FALSE)</f>
        <v>0.06</v>
      </c>
      <c r="AI54" s="23">
        <f>VLOOKUP(AI24,'Tabelas SN'!$A$60:$D$65,3,FALSE)</f>
        <v>0.06</v>
      </c>
      <c r="AJ54" s="23">
        <f>VLOOKUP(AJ24,'Tabelas SN'!$A$60:$D$65,3,FALSE)</f>
        <v>0.06</v>
      </c>
      <c r="AK54" s="23">
        <f>VLOOKUP(AK24,'Tabelas SN'!$A$60:$D$65,3,FALSE)</f>
        <v>0.06</v>
      </c>
      <c r="AL54" s="23">
        <f>VLOOKUP(AL24,'Tabelas SN'!$A$60:$D$65,3,FALSE)</f>
        <v>0.06</v>
      </c>
      <c r="AM54" s="23">
        <f>VLOOKUP(AM24,'Tabelas SN'!$A$60:$D$65,3,FALSE)</f>
        <v>0.06</v>
      </c>
      <c r="AN54" s="23">
        <f>VLOOKUP(AN24,'Tabelas SN'!$A$60:$D$65,3,FALSE)</f>
        <v>0.06</v>
      </c>
      <c r="AO54" s="23">
        <f>VLOOKUP(AO24,'Tabelas SN'!$A$60:$D$65,3,FALSE)</f>
        <v>0.06</v>
      </c>
      <c r="AP54" s="23">
        <f>VLOOKUP(AP24,'Tabelas SN'!$A$60:$D$65,3,FALSE)</f>
        <v>0.06</v>
      </c>
      <c r="AQ54" s="23">
        <f>VLOOKUP(AQ24,'Tabelas SN'!$A$60:$D$65,3,FALSE)</f>
        <v>0.06</v>
      </c>
      <c r="AR54" s="23">
        <f>VLOOKUP(AR24,'Tabelas SN'!$A$60:$D$65,3,FALSE)</f>
        <v>0.06</v>
      </c>
      <c r="AS54" s="23">
        <f>VLOOKUP(AS24,'Tabelas SN'!$A$60:$D$65,3,FALSE)</f>
        <v>0.06</v>
      </c>
      <c r="AT54" s="23">
        <f>VLOOKUP(AT24,'Tabelas SN'!$A$60:$D$65,3,FALSE)</f>
        <v>0.06</v>
      </c>
      <c r="AU54" s="23">
        <f>VLOOKUP(AU24,'Tabelas SN'!$A$60:$D$65,3,FALSE)</f>
        <v>0.06</v>
      </c>
      <c r="AV54" s="23">
        <f>VLOOKUP(AV24,'Tabelas SN'!$A$60:$D$65,3,FALSE)</f>
        <v>0.06</v>
      </c>
      <c r="AW54" s="23">
        <f>VLOOKUP(AW24,'Tabelas SN'!$A$60:$D$65,3,FALSE)</f>
        <v>0.06</v>
      </c>
      <c r="AX54" s="23">
        <f>VLOOKUP(AX24,'Tabelas SN'!$A$60:$D$65,3,FALSE)</f>
        <v>0.06</v>
      </c>
      <c r="AY54" s="23">
        <f>VLOOKUP(AY24,'Tabelas SN'!$A$60:$D$65,3,FALSE)</f>
        <v>0.06</v>
      </c>
      <c r="AZ54" s="23">
        <f>VLOOKUP(AZ24,'Tabelas SN'!$A$60:$D$65,3,FALSE)</f>
        <v>0.06</v>
      </c>
      <c r="BA54" s="23">
        <f>VLOOKUP(BA24,'Tabelas SN'!$A$60:$D$65,3,FALSE)</f>
        <v>0.06</v>
      </c>
      <c r="BB54" s="23">
        <f>VLOOKUP(BB24,'Tabelas SN'!$A$60:$D$65,3,FALSE)</f>
        <v>0.06</v>
      </c>
      <c r="BC54" s="23">
        <f>VLOOKUP(BC24,'Tabelas SN'!$A$60:$D$65,3,FALSE)</f>
        <v>0.06</v>
      </c>
      <c r="BD54" s="23">
        <f>VLOOKUP(BD24,'Tabelas SN'!$A$60:$D$65,3,FALSE)</f>
        <v>0.06</v>
      </c>
      <c r="BE54" s="23">
        <f>VLOOKUP(BE24,'Tabelas SN'!$A$60:$D$65,3,FALSE)</f>
        <v>0.06</v>
      </c>
      <c r="BF54" s="23">
        <f>VLOOKUP(BF24,'Tabelas SN'!$A$60:$D$65,3,FALSE)</f>
        <v>0.06</v>
      </c>
      <c r="BG54" s="23">
        <f>VLOOKUP(BG24,'Tabelas SN'!$A$60:$D$65,3,FALSE)</f>
        <v>0.06</v>
      </c>
      <c r="BH54" s="23">
        <f>VLOOKUP(BH24,'Tabelas SN'!$A$60:$D$65,3,FALSE)</f>
        <v>0.06</v>
      </c>
      <c r="BI54" s="23">
        <f>VLOOKUP(BI24,'Tabelas SN'!$A$60:$D$65,3,FALSE)</f>
        <v>0.06</v>
      </c>
      <c r="BJ54" s="23">
        <f>VLOOKUP(BJ24,'Tabelas SN'!$A$60:$D$65,3,FALSE)</f>
        <v>0.06</v>
      </c>
      <c r="BK54" s="23">
        <f>VLOOKUP(BK24,'Tabelas SN'!$A$60:$D$65,3,FALSE)</f>
        <v>0.06</v>
      </c>
      <c r="BL54" s="23">
        <f>VLOOKUP(BL24,'Tabelas SN'!$A$60:$D$65,3,FALSE)</f>
        <v>0.06</v>
      </c>
      <c r="BM54" s="23">
        <f>VLOOKUP(BM24,'Tabelas SN'!$A$60:$D$65,3,FALSE)</f>
        <v>0.06</v>
      </c>
      <c r="BO54" s="19" t="s">
        <v>67</v>
      </c>
    </row>
    <row r="55" spans="2:67" outlineLevel="1" x14ac:dyDescent="0.25">
      <c r="B55" s="18" t="s">
        <v>86</v>
      </c>
      <c r="C55" s="23" t="str">
        <f>IFERROR(C56/C$30,"-")</f>
        <v>-</v>
      </c>
      <c r="D55" s="23" t="str">
        <f t="shared" ref="D55:BM55" si="95">IFERROR(D56/D$30,"-")</f>
        <v>-</v>
      </c>
      <c r="E55" s="23" t="str">
        <f t="shared" si="95"/>
        <v>-</v>
      </c>
      <c r="F55" s="23" t="str">
        <f t="shared" si="95"/>
        <v>-</v>
      </c>
      <c r="G55" s="23" t="str">
        <f t="shared" si="95"/>
        <v>-</v>
      </c>
      <c r="H55" s="23" t="str">
        <f t="shared" si="95"/>
        <v>-</v>
      </c>
      <c r="I55" s="23" t="str">
        <f t="shared" si="95"/>
        <v>-</v>
      </c>
      <c r="J55" s="23" t="str">
        <f t="shared" si="95"/>
        <v>-</v>
      </c>
      <c r="K55" s="23" t="str">
        <f t="shared" si="95"/>
        <v>-</v>
      </c>
      <c r="L55" s="23" t="str">
        <f t="shared" si="95"/>
        <v>-</v>
      </c>
      <c r="M55" s="23" t="str">
        <f t="shared" si="95"/>
        <v>-</v>
      </c>
      <c r="N55" s="23" t="str">
        <f t="shared" si="95"/>
        <v>-</v>
      </c>
      <c r="O55" s="23" t="str">
        <f t="shared" si="95"/>
        <v>-</v>
      </c>
      <c r="P55" s="23" t="str">
        <f t="shared" si="95"/>
        <v>-</v>
      </c>
      <c r="Q55" s="23" t="str">
        <f t="shared" si="95"/>
        <v>-</v>
      </c>
      <c r="R55" s="23" t="str">
        <f t="shared" si="95"/>
        <v>-</v>
      </c>
      <c r="S55" s="23" t="str">
        <f t="shared" si="95"/>
        <v>-</v>
      </c>
      <c r="T55" s="23" t="str">
        <f t="shared" si="95"/>
        <v>-</v>
      </c>
      <c r="U55" s="23" t="str">
        <f t="shared" si="95"/>
        <v>-</v>
      </c>
      <c r="V55" s="23" t="str">
        <f t="shared" si="95"/>
        <v>-</v>
      </c>
      <c r="W55" s="23" t="str">
        <f t="shared" si="95"/>
        <v>-</v>
      </c>
      <c r="X55" s="23" t="str">
        <f t="shared" si="95"/>
        <v>-</v>
      </c>
      <c r="Y55" s="23" t="str">
        <f t="shared" si="95"/>
        <v>-</v>
      </c>
      <c r="Z55" s="23" t="str">
        <f t="shared" si="95"/>
        <v>-</v>
      </c>
      <c r="AA55" s="23" t="str">
        <f t="shared" si="95"/>
        <v>-</v>
      </c>
      <c r="AB55" s="23" t="str">
        <f t="shared" si="95"/>
        <v>-</v>
      </c>
      <c r="AC55" s="23" t="str">
        <f t="shared" si="95"/>
        <v>-</v>
      </c>
      <c r="AD55" s="23" t="str">
        <f t="shared" si="95"/>
        <v>-</v>
      </c>
      <c r="AE55" s="23" t="str">
        <f t="shared" si="95"/>
        <v>-</v>
      </c>
      <c r="AF55" s="23" t="str">
        <f t="shared" si="95"/>
        <v>-</v>
      </c>
      <c r="AG55" s="23" t="str">
        <f t="shared" si="95"/>
        <v>-</v>
      </c>
      <c r="AH55" s="23" t="str">
        <f t="shared" si="95"/>
        <v>-</v>
      </c>
      <c r="AI55" s="23" t="str">
        <f t="shared" si="95"/>
        <v>-</v>
      </c>
      <c r="AJ55" s="23" t="str">
        <f t="shared" si="95"/>
        <v>-</v>
      </c>
      <c r="AK55" s="23" t="str">
        <f t="shared" si="95"/>
        <v>-</v>
      </c>
      <c r="AL55" s="23" t="str">
        <f t="shared" si="95"/>
        <v>-</v>
      </c>
      <c r="AM55" s="23" t="str">
        <f t="shared" si="95"/>
        <v>-</v>
      </c>
      <c r="AN55" s="23" t="str">
        <f t="shared" si="95"/>
        <v>-</v>
      </c>
      <c r="AO55" s="23" t="str">
        <f t="shared" si="95"/>
        <v>-</v>
      </c>
      <c r="AP55" s="23" t="str">
        <f t="shared" si="95"/>
        <v>-</v>
      </c>
      <c r="AQ55" s="23" t="str">
        <f t="shared" si="95"/>
        <v>-</v>
      </c>
      <c r="AR55" s="23" t="str">
        <f t="shared" si="95"/>
        <v>-</v>
      </c>
      <c r="AS55" s="23" t="str">
        <f t="shared" si="95"/>
        <v>-</v>
      </c>
      <c r="AT55" s="23" t="str">
        <f t="shared" si="95"/>
        <v>-</v>
      </c>
      <c r="AU55" s="23" t="str">
        <f t="shared" si="95"/>
        <v>-</v>
      </c>
      <c r="AV55" s="23" t="str">
        <f t="shared" si="95"/>
        <v>-</v>
      </c>
      <c r="AW55" s="23" t="str">
        <f t="shared" si="95"/>
        <v>-</v>
      </c>
      <c r="AX55" s="23" t="str">
        <f t="shared" si="95"/>
        <v>-</v>
      </c>
      <c r="AY55" s="23" t="str">
        <f t="shared" si="95"/>
        <v>-</v>
      </c>
      <c r="AZ55" s="23" t="str">
        <f t="shared" si="95"/>
        <v>-</v>
      </c>
      <c r="BA55" s="23" t="str">
        <f t="shared" si="95"/>
        <v>-</v>
      </c>
      <c r="BB55" s="23" t="str">
        <f t="shared" si="95"/>
        <v>-</v>
      </c>
      <c r="BC55" s="23" t="str">
        <f t="shared" si="95"/>
        <v>-</v>
      </c>
      <c r="BD55" s="23" t="str">
        <f t="shared" si="95"/>
        <v>-</v>
      </c>
      <c r="BE55" s="23" t="str">
        <f t="shared" si="95"/>
        <v>-</v>
      </c>
      <c r="BF55" s="23" t="str">
        <f t="shared" si="95"/>
        <v>-</v>
      </c>
      <c r="BG55" s="23" t="str">
        <f t="shared" si="95"/>
        <v>-</v>
      </c>
      <c r="BH55" s="23" t="str">
        <f t="shared" si="95"/>
        <v>-</v>
      </c>
      <c r="BI55" s="23" t="str">
        <f t="shared" si="95"/>
        <v>-</v>
      </c>
      <c r="BJ55" s="23" t="str">
        <f t="shared" si="95"/>
        <v>-</v>
      </c>
      <c r="BK55" s="23" t="str">
        <f t="shared" si="95"/>
        <v>-</v>
      </c>
      <c r="BL55" s="23" t="str">
        <f t="shared" si="95"/>
        <v>-</v>
      </c>
      <c r="BM55" s="23" t="str">
        <f t="shared" si="95"/>
        <v>-</v>
      </c>
      <c r="BO55" s="19" t="s">
        <v>67</v>
      </c>
    </row>
    <row r="56" spans="2:67" outlineLevel="1" x14ac:dyDescent="0.25">
      <c r="C56" s="57" t="str">
        <f>IFERROR(C54*C30-VLOOKUP(C24,'Tabelas SN'!$A$60:$D$65,4,FALSE),"-")</f>
        <v>-</v>
      </c>
      <c r="D56" s="57" t="str">
        <f>IFERROR(D54*D30-VLOOKUP(D24,'Tabelas SN'!$A$60:$D$65,4,FALSE),"-")</f>
        <v>-</v>
      </c>
      <c r="E56" s="57" t="str">
        <f>IFERROR(E54*E30-VLOOKUP(E24,'Tabelas SN'!$A$60:$D$65,4,FALSE),"-")</f>
        <v>-</v>
      </c>
      <c r="F56" s="57" t="str">
        <f>IFERROR(F54*F30-VLOOKUP(F24,'Tabelas SN'!$A$60:$D$65,4,FALSE),"-")</f>
        <v>-</v>
      </c>
      <c r="G56" s="57" t="str">
        <f>IFERROR(G54*G30-VLOOKUP(G24,'Tabelas SN'!$A$60:$D$65,4,FALSE),"-")</f>
        <v>-</v>
      </c>
      <c r="H56" s="57" t="str">
        <f>IFERROR(H54*H30-VLOOKUP(H24,'Tabelas SN'!$A$60:$D$65,4,FALSE),"-")</f>
        <v>-</v>
      </c>
      <c r="I56" s="57" t="str">
        <f>IFERROR(I54*I30-VLOOKUP(I24,'Tabelas SN'!$A$60:$D$65,4,FALSE),"-")</f>
        <v>-</v>
      </c>
      <c r="J56" s="57" t="str">
        <f>IFERROR(J54*J30-VLOOKUP(J24,'Tabelas SN'!$A$60:$D$65,4,FALSE),"-")</f>
        <v>-</v>
      </c>
      <c r="K56" s="57" t="str">
        <f>IFERROR(K54*K30-VLOOKUP(K24,'Tabelas SN'!$A$60:$D$65,4,FALSE),"-")</f>
        <v>-</v>
      </c>
      <c r="L56" s="57" t="str">
        <f>IFERROR(L54*L30-VLOOKUP(L24,'Tabelas SN'!$A$60:$D$65,4,FALSE),"-")</f>
        <v>-</v>
      </c>
      <c r="M56" s="57" t="str">
        <f>IFERROR(M54*M30-VLOOKUP(M24,'Tabelas SN'!$A$60:$D$65,4,FALSE),"-")</f>
        <v>-</v>
      </c>
      <c r="N56" s="57" t="str">
        <f>IFERROR(N54*N30-VLOOKUP(N24,'Tabelas SN'!$A$60:$D$65,4,FALSE),"-")</f>
        <v>-</v>
      </c>
      <c r="O56" s="57" t="str">
        <f>IFERROR(O54*O30-VLOOKUP(O24,'Tabelas SN'!$A$60:$D$65,4,FALSE),"-")</f>
        <v>-</v>
      </c>
      <c r="P56" s="57" t="str">
        <f>IFERROR(P54*P30-VLOOKUP(P24,'Tabelas SN'!$A$60:$D$65,4,FALSE),"-")</f>
        <v>-</v>
      </c>
      <c r="Q56" s="57" t="str">
        <f>IFERROR(Q54*Q30-VLOOKUP(Q24,'Tabelas SN'!$A$60:$D$65,4,FALSE),"-")</f>
        <v>-</v>
      </c>
      <c r="R56" s="57" t="str">
        <f>IFERROR(R54*R30-VLOOKUP(R24,'Tabelas SN'!$A$60:$D$65,4,FALSE),"-")</f>
        <v>-</v>
      </c>
      <c r="S56" s="57" t="str">
        <f>IFERROR(S54*S30-VLOOKUP(S24,'Tabelas SN'!$A$60:$D$65,4,FALSE),"-")</f>
        <v>-</v>
      </c>
      <c r="T56" s="57" t="str">
        <f>IFERROR(T54*T30-VLOOKUP(T24,'Tabelas SN'!$A$60:$D$65,4,FALSE),"-")</f>
        <v>-</v>
      </c>
      <c r="U56" s="57" t="str">
        <f>IFERROR(U54*U30-VLOOKUP(U24,'Tabelas SN'!$A$60:$D$65,4,FALSE),"-")</f>
        <v>-</v>
      </c>
      <c r="V56" s="57" t="str">
        <f>IFERROR(V54*V30-VLOOKUP(V24,'Tabelas SN'!$A$60:$D$65,4,FALSE),"-")</f>
        <v>-</v>
      </c>
      <c r="W56" s="57" t="str">
        <f>IFERROR(W54*W30-VLOOKUP(W24,'Tabelas SN'!$A$60:$D$65,4,FALSE),"-")</f>
        <v>-</v>
      </c>
      <c r="X56" s="57" t="str">
        <f>IFERROR(X54*X30-VLOOKUP(X24,'Tabelas SN'!$A$60:$D$65,4,FALSE),"-")</f>
        <v>-</v>
      </c>
      <c r="Y56" s="57" t="str">
        <f>IFERROR(Y54*Y30-VLOOKUP(Y24,'Tabelas SN'!$A$60:$D$65,4,FALSE),"-")</f>
        <v>-</v>
      </c>
      <c r="Z56" s="57" t="str">
        <f>IFERROR(Z54*Z30-VLOOKUP(Z24,'Tabelas SN'!$A$60:$D$65,4,FALSE),"-")</f>
        <v>-</v>
      </c>
      <c r="AA56" s="57" t="str">
        <f>IFERROR(AA54*AA30-VLOOKUP(AA24,'Tabelas SN'!$A$60:$D$65,4,FALSE),"-")</f>
        <v>-</v>
      </c>
      <c r="AB56" s="57" t="str">
        <f>IFERROR(AB54*AB30-VLOOKUP(AB24,'Tabelas SN'!$A$60:$D$65,4,FALSE),"-")</f>
        <v>-</v>
      </c>
      <c r="AC56" s="57" t="str">
        <f>IFERROR(AC54*AC30-VLOOKUP(AC24,'Tabelas SN'!$A$60:$D$65,4,FALSE),"-")</f>
        <v>-</v>
      </c>
      <c r="AD56" s="57" t="str">
        <f>IFERROR(AD54*AD30-VLOOKUP(AD24,'Tabelas SN'!$A$60:$D$65,4,FALSE),"-")</f>
        <v>-</v>
      </c>
      <c r="AE56" s="57" t="str">
        <f>IFERROR(AE54*AE30-VLOOKUP(AE24,'Tabelas SN'!$A$60:$D$65,4,FALSE),"-")</f>
        <v>-</v>
      </c>
      <c r="AF56" s="57" t="str">
        <f>IFERROR(AF54*AF30-VLOOKUP(AF24,'Tabelas SN'!$A$60:$D$65,4,FALSE),"-")</f>
        <v>-</v>
      </c>
      <c r="AG56" s="57" t="str">
        <f>IFERROR(AG54*AG30-VLOOKUP(AG24,'Tabelas SN'!$A$60:$D$65,4,FALSE),"-")</f>
        <v>-</v>
      </c>
      <c r="AH56" s="57" t="str">
        <f>IFERROR(AH54*AH30-VLOOKUP(AH24,'Tabelas SN'!$A$60:$D$65,4,FALSE),"-")</f>
        <v>-</v>
      </c>
      <c r="AI56" s="57" t="str">
        <f>IFERROR(AI54*AI30-VLOOKUP(AI24,'Tabelas SN'!$A$60:$D$65,4,FALSE),"-")</f>
        <v>-</v>
      </c>
      <c r="AJ56" s="57" t="str">
        <f>IFERROR(AJ54*AJ30-VLOOKUP(AJ24,'Tabelas SN'!$A$60:$D$65,4,FALSE),"-")</f>
        <v>-</v>
      </c>
      <c r="AK56" s="57" t="str">
        <f>IFERROR(AK54*AK30-VLOOKUP(AK24,'Tabelas SN'!$A$60:$D$65,4,FALSE),"-")</f>
        <v>-</v>
      </c>
      <c r="AL56" s="57" t="str">
        <f>IFERROR(AL54*AL30-VLOOKUP(AL24,'Tabelas SN'!$A$60:$D$65,4,FALSE),"-")</f>
        <v>-</v>
      </c>
      <c r="AM56" s="57" t="str">
        <f>IFERROR(AM54*AM30-VLOOKUP(AM24,'Tabelas SN'!$A$60:$D$65,4,FALSE),"-")</f>
        <v>-</v>
      </c>
      <c r="AN56" s="57" t="str">
        <f>IFERROR(AN54*AN30-VLOOKUP(AN24,'Tabelas SN'!$A$60:$D$65,4,FALSE),"-")</f>
        <v>-</v>
      </c>
      <c r="AO56" s="57" t="str">
        <f>IFERROR(AO54*AO30-VLOOKUP(AO24,'Tabelas SN'!$A$60:$D$65,4,FALSE),"-")</f>
        <v>-</v>
      </c>
      <c r="AP56" s="57" t="str">
        <f>IFERROR(AP54*AP30-VLOOKUP(AP24,'Tabelas SN'!$A$60:$D$65,4,FALSE),"-")</f>
        <v>-</v>
      </c>
      <c r="AQ56" s="57" t="str">
        <f>IFERROR(AQ54*AQ30-VLOOKUP(AQ24,'Tabelas SN'!$A$60:$D$65,4,FALSE),"-")</f>
        <v>-</v>
      </c>
      <c r="AR56" s="57" t="str">
        <f>IFERROR(AR54*AR30-VLOOKUP(AR24,'Tabelas SN'!$A$60:$D$65,4,FALSE),"-")</f>
        <v>-</v>
      </c>
      <c r="AS56" s="57" t="str">
        <f>IFERROR(AS54*AS30-VLOOKUP(AS24,'Tabelas SN'!$A$60:$D$65,4,FALSE),"-")</f>
        <v>-</v>
      </c>
      <c r="AT56" s="57" t="str">
        <f>IFERROR(AT54*AT30-VLOOKUP(AT24,'Tabelas SN'!$A$60:$D$65,4,FALSE),"-")</f>
        <v>-</v>
      </c>
      <c r="AU56" s="57" t="str">
        <f>IFERROR(AU54*AU30-VLOOKUP(AU24,'Tabelas SN'!$A$60:$D$65,4,FALSE),"-")</f>
        <v>-</v>
      </c>
      <c r="AV56" s="57" t="str">
        <f>IFERROR(AV54*AV30-VLOOKUP(AV24,'Tabelas SN'!$A$60:$D$65,4,FALSE),"-")</f>
        <v>-</v>
      </c>
      <c r="AW56" s="57" t="str">
        <f>IFERROR(AW54*AW30-VLOOKUP(AW24,'Tabelas SN'!$A$60:$D$65,4,FALSE),"-")</f>
        <v>-</v>
      </c>
      <c r="AX56" s="57" t="str">
        <f>IFERROR(AX54*AX30-VLOOKUP(AX24,'Tabelas SN'!$A$60:$D$65,4,FALSE),"-")</f>
        <v>-</v>
      </c>
      <c r="AY56" s="57" t="str">
        <f>IFERROR(AY54*AY30-VLOOKUP(AY24,'Tabelas SN'!$A$60:$D$65,4,FALSE),"-")</f>
        <v>-</v>
      </c>
      <c r="AZ56" s="57" t="str">
        <f>IFERROR(AZ54*AZ30-VLOOKUP(AZ24,'Tabelas SN'!$A$60:$D$65,4,FALSE),"-")</f>
        <v>-</v>
      </c>
      <c r="BA56" s="57" t="str">
        <f>IFERROR(BA54*BA30-VLOOKUP(BA24,'Tabelas SN'!$A$60:$D$65,4,FALSE),"-")</f>
        <v>-</v>
      </c>
      <c r="BB56" s="57" t="str">
        <f>IFERROR(BB54*BB30-VLOOKUP(BB24,'Tabelas SN'!$A$60:$D$65,4,FALSE),"-")</f>
        <v>-</v>
      </c>
      <c r="BC56" s="57" t="str">
        <f>IFERROR(BC54*BC30-VLOOKUP(BC24,'Tabelas SN'!$A$60:$D$65,4,FALSE),"-")</f>
        <v>-</v>
      </c>
      <c r="BD56" s="57" t="str">
        <f>IFERROR(BD54*BD30-VLOOKUP(BD24,'Tabelas SN'!$A$60:$D$65,4,FALSE),"-")</f>
        <v>-</v>
      </c>
      <c r="BE56" s="57" t="str">
        <f>IFERROR(BE54*BE30-VLOOKUP(BE24,'Tabelas SN'!$A$60:$D$65,4,FALSE),"-")</f>
        <v>-</v>
      </c>
      <c r="BF56" s="57" t="str">
        <f>IFERROR(BF54*BF30-VLOOKUP(BF24,'Tabelas SN'!$A$60:$D$65,4,FALSE),"-")</f>
        <v>-</v>
      </c>
      <c r="BG56" s="57" t="str">
        <f>IFERROR(BG54*BG30-VLOOKUP(BG24,'Tabelas SN'!$A$60:$D$65,4,FALSE),"-")</f>
        <v>-</v>
      </c>
      <c r="BH56" s="57" t="str">
        <f>IFERROR(BH54*BH30-VLOOKUP(BH24,'Tabelas SN'!$A$60:$D$65,4,FALSE),"-")</f>
        <v>-</v>
      </c>
      <c r="BI56" s="57" t="str">
        <f>IFERROR(BI54*BI30-VLOOKUP(BI24,'Tabelas SN'!$A$60:$D$65,4,FALSE),"-")</f>
        <v>-</v>
      </c>
      <c r="BJ56" s="57" t="str">
        <f>IFERROR(BJ54*BJ30-VLOOKUP(BJ24,'Tabelas SN'!$A$60:$D$65,4,FALSE),"-")</f>
        <v>-</v>
      </c>
      <c r="BK56" s="57" t="str">
        <f>IFERROR(BK54*BK30-VLOOKUP(BK24,'Tabelas SN'!$A$60:$D$65,4,FALSE),"-")</f>
        <v>-</v>
      </c>
      <c r="BL56" s="57" t="str">
        <f>IFERROR(BL54*BL30-VLOOKUP(BL24,'Tabelas SN'!$A$60:$D$65,4,FALSE),"-")</f>
        <v>-</v>
      </c>
      <c r="BM56" s="57" t="str">
        <f>IFERROR(BM54*BM30-VLOOKUP(BM24,'Tabelas SN'!$A$60:$D$65,4,FALSE),"-")</f>
        <v>-</v>
      </c>
      <c r="BO56" s="19" t="s">
        <v>67</v>
      </c>
    </row>
    <row r="57" spans="2:67" x14ac:dyDescent="0.25"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O57" s="19" t="s">
        <v>67</v>
      </c>
    </row>
  </sheetData>
  <conditionalFormatting sqref="C5:BM5">
    <cfRule type="cellIs" dxfId="3" priority="3" operator="equal">
      <formula>"NÃO PAGO"</formula>
    </cfRule>
    <cfRule type="cellIs" dxfId="2" priority="4" operator="equal">
      <formula>"PAGO"</formula>
    </cfRule>
  </conditionalFormatting>
  <conditionalFormatting sqref="C25:BN25 BP25">
    <cfRule type="cellIs" dxfId="1" priority="5" operator="equal">
      <formula>"erro"</formula>
    </cfRule>
    <cfRule type="cellIs" dxfId="0" priority="6" operator="equal">
      <formula>"ok"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EAF6-6CE1-4815-B309-34D069B1F26D}">
  <dimension ref="A1:J65"/>
  <sheetViews>
    <sheetView topLeftCell="A48" workbookViewId="0">
      <selection activeCell="A59" sqref="A59"/>
    </sheetView>
  </sheetViews>
  <sheetFormatPr defaultColWidth="8.85546875" defaultRowHeight="15" x14ac:dyDescent="0.25"/>
  <cols>
    <col min="1" max="4" width="27.42578125" customWidth="1"/>
    <col min="5" max="7" width="11.7109375" bestFit="1" customWidth="1"/>
    <col min="10" max="10" width="10.140625" bestFit="1" customWidth="1"/>
  </cols>
  <sheetData>
    <row r="1" spans="1:10" ht="26.25" thickBot="1" x14ac:dyDescent="0.3">
      <c r="A1" s="8" t="s">
        <v>9</v>
      </c>
      <c r="C1" s="8" t="s">
        <v>10</v>
      </c>
      <c r="D1" s="8" t="s">
        <v>11</v>
      </c>
      <c r="E1" s="14" t="s">
        <v>57</v>
      </c>
      <c r="F1" s="14" t="s">
        <v>56</v>
      </c>
    </row>
    <row r="2" spans="1:10" ht="15.75" thickBot="1" x14ac:dyDescent="0.3">
      <c r="A2" s="9" t="s">
        <v>12</v>
      </c>
      <c r="B2" s="9" t="s">
        <v>13</v>
      </c>
      <c r="C2" s="10">
        <v>0.04</v>
      </c>
      <c r="D2" s="22">
        <v>0</v>
      </c>
      <c r="E2">
        <v>0</v>
      </c>
      <c r="F2" s="1">
        <v>180000</v>
      </c>
      <c r="G2" s="1">
        <f>C2</f>
        <v>0.04</v>
      </c>
      <c r="H2" t="str">
        <f>A2</f>
        <v>1a Faixa</v>
      </c>
      <c r="I2" s="1"/>
    </row>
    <row r="3" spans="1:10" ht="15.75" thickBot="1" x14ac:dyDescent="0.3">
      <c r="A3" s="9" t="s">
        <v>15</v>
      </c>
      <c r="B3" s="9" t="s">
        <v>16</v>
      </c>
      <c r="C3" s="10">
        <v>7.2999999999999995E-2</v>
      </c>
      <c r="D3" s="11">
        <v>5940</v>
      </c>
      <c r="E3" s="1">
        <f>F2+0.01</f>
        <v>180000.01</v>
      </c>
      <c r="F3" s="1">
        <v>360000</v>
      </c>
      <c r="G3" s="1">
        <f t="shared" ref="G3:G7" si="0">C3</f>
        <v>7.2999999999999995E-2</v>
      </c>
      <c r="H3" t="str">
        <f t="shared" ref="H3:H7" si="1">A3</f>
        <v>2a Faixa</v>
      </c>
    </row>
    <row r="4" spans="1:10" ht="15.75" thickBot="1" x14ac:dyDescent="0.3">
      <c r="A4" s="9" t="s">
        <v>17</v>
      </c>
      <c r="B4" s="9" t="s">
        <v>18</v>
      </c>
      <c r="C4" s="10">
        <v>9.5000000000000001E-2</v>
      </c>
      <c r="D4" s="11">
        <v>13860</v>
      </c>
      <c r="E4" s="1">
        <f>F3+0.01</f>
        <v>360000.01</v>
      </c>
      <c r="F4" s="1">
        <f>F3*2</f>
        <v>720000</v>
      </c>
      <c r="G4" s="1">
        <f t="shared" si="0"/>
        <v>9.5000000000000001E-2</v>
      </c>
      <c r="H4" t="str">
        <f t="shared" si="1"/>
        <v>3a Faixa</v>
      </c>
    </row>
    <row r="5" spans="1:10" ht="15.75" thickBot="1" x14ac:dyDescent="0.3">
      <c r="A5" s="9" t="s">
        <v>19</v>
      </c>
      <c r="B5" s="9" t="s">
        <v>20</v>
      </c>
      <c r="C5" s="10">
        <v>0.107</v>
      </c>
      <c r="D5" s="11">
        <v>22500</v>
      </c>
      <c r="E5" s="1">
        <f>F4+0.01</f>
        <v>720000.01</v>
      </c>
      <c r="F5" s="1">
        <v>1800000</v>
      </c>
      <c r="G5" s="1">
        <f t="shared" si="0"/>
        <v>0.107</v>
      </c>
      <c r="H5" t="str">
        <f t="shared" si="1"/>
        <v>4a Faixa</v>
      </c>
    </row>
    <row r="6" spans="1:10" ht="26.25" thickBot="1" x14ac:dyDescent="0.3">
      <c r="A6" s="9" t="s">
        <v>21</v>
      </c>
      <c r="B6" s="9" t="s">
        <v>22</v>
      </c>
      <c r="C6" s="10">
        <v>0.14299999999999999</v>
      </c>
      <c r="D6" s="11">
        <v>87300</v>
      </c>
      <c r="E6" s="1">
        <f>F5+0.01</f>
        <v>1800000.01</v>
      </c>
      <c r="F6" s="1">
        <f>F5*2</f>
        <v>3600000</v>
      </c>
      <c r="G6" s="1">
        <f t="shared" si="0"/>
        <v>0.14299999999999999</v>
      </c>
      <c r="H6" t="str">
        <f t="shared" si="1"/>
        <v>5a Faixa</v>
      </c>
    </row>
    <row r="7" spans="1:10" ht="26.25" thickBot="1" x14ac:dyDescent="0.3">
      <c r="A7" s="9" t="s">
        <v>23</v>
      </c>
      <c r="B7" s="9" t="s">
        <v>24</v>
      </c>
      <c r="C7" s="10">
        <v>0.19</v>
      </c>
      <c r="D7" s="11">
        <v>378000</v>
      </c>
      <c r="E7" s="1">
        <f>F6+0.01</f>
        <v>3600000.01</v>
      </c>
      <c r="F7" s="1">
        <v>4800000</v>
      </c>
      <c r="G7" s="1">
        <f t="shared" si="0"/>
        <v>0.19</v>
      </c>
      <c r="H7" t="str">
        <f t="shared" si="1"/>
        <v>6a Faixa</v>
      </c>
    </row>
    <row r="8" spans="1:10" ht="15.75" thickBot="1" x14ac:dyDescent="0.3"/>
    <row r="9" spans="1:10" ht="26.25" thickBot="1" x14ac:dyDescent="0.3">
      <c r="A9" s="8" t="s">
        <v>25</v>
      </c>
      <c r="B9" s="8" t="s">
        <v>26</v>
      </c>
      <c r="C9" s="7"/>
      <c r="D9" s="7"/>
      <c r="E9" s="7"/>
      <c r="F9" s="7"/>
      <c r="G9" s="7"/>
    </row>
    <row r="10" spans="1:10" ht="15.75" thickBot="1" x14ac:dyDescent="0.3">
      <c r="A10" s="9"/>
      <c r="B10" s="9" t="s">
        <v>1</v>
      </c>
      <c r="C10" s="9" t="s">
        <v>2</v>
      </c>
      <c r="D10" s="9" t="s">
        <v>27</v>
      </c>
      <c r="E10" s="9" t="s">
        <v>28</v>
      </c>
      <c r="F10" s="9" t="s">
        <v>29</v>
      </c>
      <c r="G10" s="9" t="s">
        <v>0</v>
      </c>
      <c r="H10" s="16" t="s">
        <v>41</v>
      </c>
      <c r="I10" s="16" t="s">
        <v>63</v>
      </c>
      <c r="J10" s="16" t="s">
        <v>64</v>
      </c>
    </row>
    <row r="11" spans="1:10" ht="15.75" thickBot="1" x14ac:dyDescent="0.3">
      <c r="A11" s="9" t="s">
        <v>12</v>
      </c>
      <c r="B11" s="10">
        <v>5.5E-2</v>
      </c>
      <c r="C11" s="10">
        <v>3.5000000000000003E-2</v>
      </c>
      <c r="D11" s="10">
        <v>0.12740000000000001</v>
      </c>
      <c r="E11" s="10">
        <v>2.76E-2</v>
      </c>
      <c r="F11" s="10">
        <v>0.41499999999999998</v>
      </c>
      <c r="G11" s="10">
        <v>0.34</v>
      </c>
      <c r="H11" s="5">
        <f>SUM(B11:F11)</f>
        <v>0.65999999999999992</v>
      </c>
      <c r="I11" s="5">
        <f>SUM(B11:G11)-SUM(D11:E11)</f>
        <v>0.84499999999999997</v>
      </c>
      <c r="J11" s="5">
        <f>SUM(B11:C11,F11)</f>
        <v>0.505</v>
      </c>
    </row>
    <row r="12" spans="1:10" ht="15.75" thickBot="1" x14ac:dyDescent="0.3">
      <c r="A12" s="9" t="s">
        <v>15</v>
      </c>
      <c r="B12" s="10">
        <v>5.5E-2</v>
      </c>
      <c r="C12" s="10">
        <v>3.5000000000000003E-2</v>
      </c>
      <c r="D12" s="10">
        <v>0.12740000000000001</v>
      </c>
      <c r="E12" s="10">
        <v>2.76E-2</v>
      </c>
      <c r="F12" s="10">
        <v>0.41499999999999998</v>
      </c>
      <c r="G12" s="10">
        <v>0.34</v>
      </c>
      <c r="H12" s="5">
        <f t="shared" ref="H12:H16" si="2">SUM(B12:F12)</f>
        <v>0.65999999999999992</v>
      </c>
      <c r="I12" s="5">
        <f t="shared" ref="I12:I16" si="3">SUM(B12:G12)-SUM(D12:E12)</f>
        <v>0.84499999999999997</v>
      </c>
      <c r="J12" s="5">
        <f t="shared" ref="J12:J16" si="4">SUM(B12:C12,F12)</f>
        <v>0.505</v>
      </c>
    </row>
    <row r="13" spans="1:10" ht="15.75" thickBot="1" x14ac:dyDescent="0.3">
      <c r="A13" s="9" t="s">
        <v>17</v>
      </c>
      <c r="B13" s="10">
        <v>5.5E-2</v>
      </c>
      <c r="C13" s="10">
        <v>3.5000000000000003E-2</v>
      </c>
      <c r="D13" s="10">
        <v>0.12740000000000001</v>
      </c>
      <c r="E13" s="10">
        <v>2.76E-2</v>
      </c>
      <c r="F13" s="10">
        <v>0.42</v>
      </c>
      <c r="G13" s="10">
        <v>0.33500000000000002</v>
      </c>
      <c r="H13" s="5">
        <f t="shared" si="2"/>
        <v>0.66500000000000004</v>
      </c>
      <c r="I13" s="5">
        <f t="shared" si="3"/>
        <v>0.84499999999999997</v>
      </c>
      <c r="J13" s="5">
        <f t="shared" si="4"/>
        <v>0.51</v>
      </c>
    </row>
    <row r="14" spans="1:10" ht="15.75" thickBot="1" x14ac:dyDescent="0.3">
      <c r="A14" s="9" t="s">
        <v>19</v>
      </c>
      <c r="B14" s="10">
        <v>5.5E-2</v>
      </c>
      <c r="C14" s="10">
        <v>3.5000000000000003E-2</v>
      </c>
      <c r="D14" s="10">
        <v>0.12740000000000001</v>
      </c>
      <c r="E14" s="10">
        <v>2.76E-2</v>
      </c>
      <c r="F14" s="10">
        <v>0.42</v>
      </c>
      <c r="G14" s="10">
        <v>0.33500000000000002</v>
      </c>
      <c r="H14" s="5">
        <f t="shared" si="2"/>
        <v>0.66500000000000004</v>
      </c>
      <c r="I14" s="5">
        <f t="shared" si="3"/>
        <v>0.84499999999999997</v>
      </c>
      <c r="J14" s="5">
        <f t="shared" si="4"/>
        <v>0.51</v>
      </c>
    </row>
    <row r="15" spans="1:10" ht="15.75" thickBot="1" x14ac:dyDescent="0.3">
      <c r="A15" s="9" t="s">
        <v>21</v>
      </c>
      <c r="B15" s="10">
        <v>5.5E-2</v>
      </c>
      <c r="C15" s="10">
        <v>3.5000000000000003E-2</v>
      </c>
      <c r="D15" s="10">
        <v>0.12740000000000001</v>
      </c>
      <c r="E15" s="10">
        <v>2.76E-2</v>
      </c>
      <c r="F15" s="10">
        <v>0.42</v>
      </c>
      <c r="G15" s="10">
        <v>0.33500000000000002</v>
      </c>
      <c r="H15" s="5">
        <f t="shared" si="2"/>
        <v>0.66500000000000004</v>
      </c>
      <c r="I15" s="5">
        <f t="shared" si="3"/>
        <v>0.84499999999999997</v>
      </c>
      <c r="J15" s="5">
        <f t="shared" si="4"/>
        <v>0.51</v>
      </c>
    </row>
    <row r="16" spans="1:10" ht="15.75" thickBot="1" x14ac:dyDescent="0.3">
      <c r="A16" s="9" t="s">
        <v>23</v>
      </c>
      <c r="B16" s="10">
        <v>0.13500000000000001</v>
      </c>
      <c r="C16" s="10">
        <v>0.1</v>
      </c>
      <c r="D16" s="10">
        <v>0.28270000000000001</v>
      </c>
      <c r="E16" s="10">
        <v>6.13E-2</v>
      </c>
      <c r="F16" s="10">
        <v>0.42099999999999999</v>
      </c>
      <c r="G16" s="10" t="s">
        <v>84</v>
      </c>
      <c r="H16" s="5">
        <f t="shared" si="2"/>
        <v>1</v>
      </c>
      <c r="I16" s="5">
        <f t="shared" si="3"/>
        <v>0.65599999999999992</v>
      </c>
      <c r="J16" s="5">
        <f t="shared" si="4"/>
        <v>0.65600000000000003</v>
      </c>
    </row>
    <row r="19" spans="1:9" x14ac:dyDescent="0.25">
      <c r="A19" s="12" t="s">
        <v>30</v>
      </c>
      <c r="I19" s="5">
        <f>1-SUM(D15:E15)</f>
        <v>0.84499999999999997</v>
      </c>
    </row>
    <row r="21" spans="1:9" x14ac:dyDescent="0.25">
      <c r="A21" t="s">
        <v>31</v>
      </c>
    </row>
    <row r="24" spans="1:9" x14ac:dyDescent="0.25">
      <c r="A24" t="s">
        <v>44</v>
      </c>
      <c r="B24" s="5">
        <v>4.4999999999999998E-2</v>
      </c>
      <c r="C24">
        <v>0</v>
      </c>
    </row>
    <row r="25" spans="1:9" x14ac:dyDescent="0.25">
      <c r="A25" t="s">
        <v>45</v>
      </c>
      <c r="B25" s="5">
        <v>7.8E-2</v>
      </c>
      <c r="C25" s="13">
        <v>5940</v>
      </c>
    </row>
    <row r="26" spans="1:9" x14ac:dyDescent="0.25">
      <c r="A26" t="s">
        <v>46</v>
      </c>
      <c r="B26" s="6">
        <v>0.1</v>
      </c>
      <c r="C26" s="13">
        <v>13860</v>
      </c>
    </row>
    <row r="27" spans="1:9" x14ac:dyDescent="0.25">
      <c r="A27" t="s">
        <v>47</v>
      </c>
      <c r="B27" s="5">
        <v>0.112</v>
      </c>
      <c r="C27" s="13">
        <v>22500</v>
      </c>
    </row>
    <row r="28" spans="1:9" x14ac:dyDescent="0.25">
      <c r="A28" t="s">
        <v>48</v>
      </c>
      <c r="B28" s="5">
        <v>0.14699999999999999</v>
      </c>
      <c r="C28" s="13">
        <v>85500</v>
      </c>
    </row>
    <row r="29" spans="1:9" x14ac:dyDescent="0.25">
      <c r="A29" t="s">
        <v>49</v>
      </c>
      <c r="B29" s="6">
        <v>0.3</v>
      </c>
      <c r="C29" s="13">
        <v>720000</v>
      </c>
    </row>
    <row r="30" spans="1:9" ht="15.75" thickBot="1" x14ac:dyDescent="0.3"/>
    <row r="31" spans="1:9" ht="26.25" thickBot="1" x14ac:dyDescent="0.3">
      <c r="A31" s="8" t="s">
        <v>9</v>
      </c>
      <c r="C31" s="8" t="s">
        <v>10</v>
      </c>
      <c r="D31" s="8" t="s">
        <v>11</v>
      </c>
      <c r="E31" s="14" t="s">
        <v>57</v>
      </c>
      <c r="F31" s="14" t="s">
        <v>56</v>
      </c>
    </row>
    <row r="32" spans="1:9" ht="15.75" thickBot="1" x14ac:dyDescent="0.3">
      <c r="A32" s="9" t="s">
        <v>12</v>
      </c>
      <c r="B32" s="9" t="s">
        <v>13</v>
      </c>
      <c r="C32" s="10">
        <v>4.4999999999999998E-2</v>
      </c>
      <c r="D32" s="9" t="s">
        <v>14</v>
      </c>
      <c r="E32">
        <v>0</v>
      </c>
      <c r="F32" s="1">
        <v>180000</v>
      </c>
      <c r="G32" s="1">
        <f>C32</f>
        <v>4.4999999999999998E-2</v>
      </c>
      <c r="H32" t="str">
        <f>A32</f>
        <v>1a Faixa</v>
      </c>
    </row>
    <row r="33" spans="1:8" ht="15.75" thickBot="1" x14ac:dyDescent="0.3">
      <c r="A33" s="9" t="s">
        <v>15</v>
      </c>
      <c r="B33" s="9" t="s">
        <v>16</v>
      </c>
      <c r="C33" s="10">
        <v>7.8E-2</v>
      </c>
      <c r="D33" s="11">
        <v>5940</v>
      </c>
      <c r="E33" s="1">
        <f>F32+0.01</f>
        <v>180000.01</v>
      </c>
      <c r="F33" s="1">
        <v>360000</v>
      </c>
      <c r="G33" s="1">
        <f t="shared" ref="G33:G37" si="5">C33</f>
        <v>7.8E-2</v>
      </c>
      <c r="H33" t="str">
        <f t="shared" ref="H33:H37" si="6">A33</f>
        <v>2a Faixa</v>
      </c>
    </row>
    <row r="34" spans="1:8" ht="15.75" thickBot="1" x14ac:dyDescent="0.3">
      <c r="A34" s="9" t="s">
        <v>17</v>
      </c>
      <c r="B34" s="9" t="s">
        <v>18</v>
      </c>
      <c r="C34" s="10">
        <v>0.1</v>
      </c>
      <c r="D34" s="11">
        <v>13860</v>
      </c>
      <c r="E34" s="1">
        <f>F33+0.01</f>
        <v>360000.01</v>
      </c>
      <c r="F34" s="1">
        <f>F33*2</f>
        <v>720000</v>
      </c>
      <c r="G34" s="1">
        <f t="shared" si="5"/>
        <v>0.1</v>
      </c>
      <c r="H34" t="str">
        <f t="shared" si="6"/>
        <v>3a Faixa</v>
      </c>
    </row>
    <row r="35" spans="1:8" ht="15.75" thickBot="1" x14ac:dyDescent="0.3">
      <c r="A35" s="9" t="s">
        <v>19</v>
      </c>
      <c r="B35" s="9" t="s">
        <v>20</v>
      </c>
      <c r="C35" s="10">
        <v>0.112</v>
      </c>
      <c r="D35" s="11">
        <v>22500</v>
      </c>
      <c r="E35" s="1">
        <f>F34+0.01</f>
        <v>720000.01</v>
      </c>
      <c r="F35" s="1">
        <v>1800000</v>
      </c>
      <c r="G35" s="1">
        <f t="shared" si="5"/>
        <v>0.112</v>
      </c>
      <c r="H35" t="str">
        <f t="shared" si="6"/>
        <v>4a Faixa</v>
      </c>
    </row>
    <row r="36" spans="1:8" ht="26.25" thickBot="1" x14ac:dyDescent="0.3">
      <c r="A36" s="9" t="s">
        <v>21</v>
      </c>
      <c r="B36" s="9" t="s">
        <v>22</v>
      </c>
      <c r="C36" s="10">
        <v>0.14699999999999999</v>
      </c>
      <c r="D36" s="11">
        <v>85500</v>
      </c>
      <c r="E36" s="1">
        <f>F35+0.01</f>
        <v>1800000.01</v>
      </c>
      <c r="F36" s="1">
        <f>F35*2</f>
        <v>3600000</v>
      </c>
      <c r="G36" s="1">
        <f t="shared" si="5"/>
        <v>0.14699999999999999</v>
      </c>
      <c r="H36" t="str">
        <f t="shared" si="6"/>
        <v>5a Faixa</v>
      </c>
    </row>
    <row r="37" spans="1:8" ht="26.25" thickBot="1" x14ac:dyDescent="0.3">
      <c r="A37" s="9" t="s">
        <v>23</v>
      </c>
      <c r="B37" s="9" t="s">
        <v>24</v>
      </c>
      <c r="C37" s="10">
        <v>0.3</v>
      </c>
      <c r="D37" s="11">
        <v>720000</v>
      </c>
      <c r="E37" s="1">
        <f>F36+0.01</f>
        <v>3600000.01</v>
      </c>
      <c r="F37" s="1">
        <v>4800000</v>
      </c>
      <c r="G37" s="1">
        <f t="shared" si="5"/>
        <v>0.3</v>
      </c>
      <c r="H37" t="str">
        <f t="shared" si="6"/>
        <v>6a Faixa</v>
      </c>
    </row>
    <row r="40" spans="1:8" x14ac:dyDescent="0.25">
      <c r="A40" t="s">
        <v>29</v>
      </c>
      <c r="B40" t="s">
        <v>3</v>
      </c>
      <c r="C40" t="s">
        <v>2</v>
      </c>
      <c r="D40" t="s">
        <v>0</v>
      </c>
      <c r="E40" t="s">
        <v>1</v>
      </c>
      <c r="F40" t="s">
        <v>27</v>
      </c>
      <c r="G40" t="s">
        <v>25</v>
      </c>
      <c r="H40" t="s">
        <v>28</v>
      </c>
    </row>
    <row r="41" spans="1:8" x14ac:dyDescent="0.25">
      <c r="A41" s="5">
        <v>0.375</v>
      </c>
      <c r="B41" s="5">
        <v>7.4999999999999997E-2</v>
      </c>
      <c r="C41" s="5">
        <v>3.5000000000000003E-2</v>
      </c>
      <c r="D41" s="5">
        <v>0.32</v>
      </c>
      <c r="E41" s="5">
        <v>5.5E-2</v>
      </c>
      <c r="F41" s="5">
        <v>0.11509999999999999</v>
      </c>
      <c r="G41" t="s">
        <v>50</v>
      </c>
      <c r="H41" s="5">
        <v>2.4899999999999999E-2</v>
      </c>
    </row>
    <row r="42" spans="1:8" x14ac:dyDescent="0.25">
      <c r="A42" s="5">
        <v>0.375</v>
      </c>
      <c r="B42" s="5">
        <v>7.4999999999999997E-2</v>
      </c>
      <c r="C42" s="5">
        <v>3.5000000000000003E-2</v>
      </c>
      <c r="D42" s="5">
        <v>0.32</v>
      </c>
      <c r="E42" s="5">
        <v>5.5E-2</v>
      </c>
      <c r="F42" s="5">
        <v>0.11509999999999999</v>
      </c>
      <c r="G42" t="s">
        <v>51</v>
      </c>
      <c r="H42" s="5">
        <v>2.4899999999999999E-2</v>
      </c>
    </row>
    <row r="43" spans="1:8" x14ac:dyDescent="0.25">
      <c r="A43" s="5">
        <v>0.375</v>
      </c>
      <c r="B43" s="5">
        <v>7.4999999999999997E-2</v>
      </c>
      <c r="C43" s="5">
        <v>3.5000000000000003E-2</v>
      </c>
      <c r="D43" s="5">
        <v>0.32</v>
      </c>
      <c r="E43" s="5">
        <v>5.5E-2</v>
      </c>
      <c r="F43" s="5">
        <v>0.11509999999999999</v>
      </c>
      <c r="G43" t="s">
        <v>52</v>
      </c>
      <c r="H43" s="5">
        <v>2.4899999999999999E-2</v>
      </c>
    </row>
    <row r="44" spans="1:8" x14ac:dyDescent="0.25">
      <c r="A44" s="5">
        <v>0.375</v>
      </c>
      <c r="B44" s="5">
        <v>7.4999999999999997E-2</v>
      </c>
      <c r="C44" s="5">
        <v>3.5000000000000003E-2</v>
      </c>
      <c r="D44" s="5">
        <v>0.32</v>
      </c>
      <c r="E44" s="5">
        <v>5.5E-2</v>
      </c>
      <c r="F44" s="5">
        <v>0.11509999999999999</v>
      </c>
      <c r="G44" t="s">
        <v>53</v>
      </c>
      <c r="H44" s="5">
        <v>2.4899999999999999E-2</v>
      </c>
    </row>
    <row r="45" spans="1:8" x14ac:dyDescent="0.25">
      <c r="A45" s="5">
        <v>0.375</v>
      </c>
      <c r="B45" s="5">
        <v>7.4999999999999997E-2</v>
      </c>
      <c r="C45" s="5">
        <v>3.5000000000000003E-2</v>
      </c>
      <c r="D45" s="5">
        <v>0.32</v>
      </c>
      <c r="E45" s="5">
        <v>5.5E-2</v>
      </c>
      <c r="F45" s="5">
        <v>0.11509999999999999</v>
      </c>
      <c r="G45" t="s">
        <v>54</v>
      </c>
      <c r="H45" s="5">
        <v>2.4899999999999999E-2</v>
      </c>
    </row>
    <row r="46" spans="1:8" x14ac:dyDescent="0.25">
      <c r="A46" s="5">
        <v>0.23499999999999999</v>
      </c>
      <c r="B46" s="5">
        <v>0.35</v>
      </c>
      <c r="C46" s="5">
        <v>7.4999999999999997E-2</v>
      </c>
      <c r="D46" t="s">
        <v>14</v>
      </c>
      <c r="E46" s="5">
        <v>8.5000000000000006E-2</v>
      </c>
      <c r="F46" s="5">
        <v>0.20960000000000001</v>
      </c>
      <c r="G46" t="s">
        <v>55</v>
      </c>
      <c r="H46" s="5">
        <v>4.5400000000000003E-2</v>
      </c>
    </row>
    <row r="47" spans="1:8" ht="15.75" thickBot="1" x14ac:dyDescent="0.3"/>
    <row r="48" spans="1:8" ht="26.25" thickBot="1" x14ac:dyDescent="0.3">
      <c r="A48" s="8" t="s">
        <v>25</v>
      </c>
      <c r="B48" s="8" t="s">
        <v>26</v>
      </c>
      <c r="C48" s="7"/>
      <c r="D48" s="7"/>
      <c r="E48" s="7"/>
      <c r="F48" s="7"/>
      <c r="G48" s="7"/>
    </row>
    <row r="49" spans="1:10" ht="15.75" thickBot="1" x14ac:dyDescent="0.3">
      <c r="A49" s="9"/>
      <c r="B49" s="9" t="s">
        <v>1</v>
      </c>
      <c r="C49" s="9" t="s">
        <v>2</v>
      </c>
      <c r="D49" s="9" t="s">
        <v>27</v>
      </c>
      <c r="E49" s="9" t="s">
        <v>28</v>
      </c>
      <c r="F49" s="9" t="s">
        <v>29</v>
      </c>
      <c r="G49" s="9" t="s">
        <v>0</v>
      </c>
      <c r="H49" t="s">
        <v>3</v>
      </c>
      <c r="J49" s="15" t="s">
        <v>62</v>
      </c>
    </row>
    <row r="50" spans="1:10" ht="15.75" thickBot="1" x14ac:dyDescent="0.3">
      <c r="A50" s="9" t="s">
        <v>12</v>
      </c>
      <c r="B50" s="10">
        <v>5.5E-2</v>
      </c>
      <c r="C50" s="10">
        <v>3.5000000000000003E-2</v>
      </c>
      <c r="D50" s="10">
        <v>0.11509999999999999</v>
      </c>
      <c r="E50" s="10">
        <v>2.4899999999999999E-2</v>
      </c>
      <c r="F50" s="10">
        <v>0.375</v>
      </c>
      <c r="G50" s="10">
        <v>0.32</v>
      </c>
      <c r="H50" s="5">
        <v>7.4999999999999997E-2</v>
      </c>
      <c r="I50" s="5">
        <f>SUM(B50:H50)</f>
        <v>1</v>
      </c>
      <c r="J50" s="5">
        <f>SUM(B50:G50)</f>
        <v>0.92500000000000004</v>
      </c>
    </row>
    <row r="51" spans="1:10" ht="15.75" thickBot="1" x14ac:dyDescent="0.3">
      <c r="A51" s="9" t="s">
        <v>15</v>
      </c>
      <c r="B51" s="10">
        <v>5.5E-2</v>
      </c>
      <c r="C51" s="10">
        <v>3.5000000000000003E-2</v>
      </c>
      <c r="D51" s="10">
        <v>0.11509999999999999</v>
      </c>
      <c r="E51" s="10">
        <v>2.4899999999999999E-2</v>
      </c>
      <c r="F51" s="10">
        <v>0.375</v>
      </c>
      <c r="G51" s="10">
        <v>0.32</v>
      </c>
      <c r="H51" s="5">
        <v>7.4999999999999997E-2</v>
      </c>
      <c r="I51" s="5">
        <f t="shared" ref="I51:I55" si="7">SUM(B51:H51)</f>
        <v>1</v>
      </c>
      <c r="J51" s="5">
        <f t="shared" ref="J51:J55" si="8">SUM(B51:G51)</f>
        <v>0.92500000000000004</v>
      </c>
    </row>
    <row r="52" spans="1:10" ht="15.75" thickBot="1" x14ac:dyDescent="0.3">
      <c r="A52" s="9" t="s">
        <v>17</v>
      </c>
      <c r="B52" s="10">
        <v>5.5E-2</v>
      </c>
      <c r="C52" s="10">
        <v>3.5000000000000003E-2</v>
      </c>
      <c r="D52" s="10">
        <v>0.11509999999999999</v>
      </c>
      <c r="E52" s="10">
        <v>2.4899999999999999E-2</v>
      </c>
      <c r="F52" s="10">
        <v>0.375</v>
      </c>
      <c r="G52" s="10">
        <v>0.32</v>
      </c>
      <c r="H52" s="5">
        <v>7.4999999999999997E-2</v>
      </c>
      <c r="I52" s="5">
        <f t="shared" si="7"/>
        <v>1</v>
      </c>
      <c r="J52" s="5">
        <f t="shared" si="8"/>
        <v>0.92500000000000004</v>
      </c>
    </row>
    <row r="53" spans="1:10" ht="15.75" thickBot="1" x14ac:dyDescent="0.3">
      <c r="A53" s="9" t="s">
        <v>19</v>
      </c>
      <c r="B53" s="10">
        <v>5.5E-2</v>
      </c>
      <c r="C53" s="10">
        <v>3.5000000000000003E-2</v>
      </c>
      <c r="D53" s="10">
        <v>0.11509999999999999</v>
      </c>
      <c r="E53" s="10">
        <v>2.4899999999999999E-2</v>
      </c>
      <c r="F53" s="10">
        <v>0.375</v>
      </c>
      <c r="G53" s="10">
        <v>0.32</v>
      </c>
      <c r="H53" s="5">
        <v>7.4999999999999997E-2</v>
      </c>
      <c r="I53" s="5">
        <f t="shared" si="7"/>
        <v>1</v>
      </c>
      <c r="J53" s="5">
        <f t="shared" si="8"/>
        <v>0.92500000000000004</v>
      </c>
    </row>
    <row r="54" spans="1:10" ht="15.75" thickBot="1" x14ac:dyDescent="0.3">
      <c r="A54" s="9" t="s">
        <v>21</v>
      </c>
      <c r="B54" s="10">
        <v>5.5E-2</v>
      </c>
      <c r="C54" s="10">
        <v>3.5000000000000003E-2</v>
      </c>
      <c r="D54" s="10">
        <v>0.11509999999999999</v>
      </c>
      <c r="E54" s="10">
        <v>2.4899999999999999E-2</v>
      </c>
      <c r="F54" s="10">
        <v>0.375</v>
      </c>
      <c r="G54" s="10">
        <v>0.32</v>
      </c>
      <c r="H54" s="5">
        <v>7.4999999999999997E-2</v>
      </c>
      <c r="I54" s="5">
        <f t="shared" si="7"/>
        <v>1</v>
      </c>
      <c r="J54" s="5">
        <f t="shared" si="8"/>
        <v>0.92500000000000004</v>
      </c>
    </row>
    <row r="55" spans="1:10" ht="15.75" thickBot="1" x14ac:dyDescent="0.3">
      <c r="A55" s="9" t="s">
        <v>23</v>
      </c>
      <c r="B55" s="10">
        <v>8.5000000000000006E-2</v>
      </c>
      <c r="C55" s="10">
        <v>7.4999999999999997E-2</v>
      </c>
      <c r="D55" s="10">
        <v>0.20960000000000001</v>
      </c>
      <c r="E55" s="10">
        <v>4.5400000000000003E-2</v>
      </c>
      <c r="F55" s="10">
        <v>0.23499999999999999</v>
      </c>
      <c r="G55" s="9">
        <v>0</v>
      </c>
      <c r="H55" s="5">
        <v>0.35</v>
      </c>
      <c r="I55" s="5">
        <f t="shared" si="7"/>
        <v>1</v>
      </c>
      <c r="J55" s="5">
        <f t="shared" si="8"/>
        <v>0.65</v>
      </c>
    </row>
    <row r="58" spans="1:10" ht="15.75" thickBot="1" x14ac:dyDescent="0.3">
      <c r="A58" s="56" t="s">
        <v>87</v>
      </c>
    </row>
    <row r="59" spans="1:10" ht="26.25" thickBot="1" x14ac:dyDescent="0.3">
      <c r="A59" s="8" t="s">
        <v>9</v>
      </c>
      <c r="C59" s="8" t="s">
        <v>10</v>
      </c>
      <c r="D59" s="8" t="s">
        <v>11</v>
      </c>
      <c r="E59" s="14" t="s">
        <v>57</v>
      </c>
      <c r="F59" s="14" t="s">
        <v>56</v>
      </c>
    </row>
    <row r="60" spans="1:10" ht="15.75" thickBot="1" x14ac:dyDescent="0.3">
      <c r="A60" s="9" t="s">
        <v>12</v>
      </c>
      <c r="B60" s="9" t="s">
        <v>13</v>
      </c>
      <c r="C60" s="10">
        <v>0.06</v>
      </c>
      <c r="D60" s="9" t="s">
        <v>14</v>
      </c>
      <c r="E60">
        <v>0</v>
      </c>
      <c r="F60" s="1">
        <v>180000</v>
      </c>
    </row>
    <row r="61" spans="1:10" ht="15.75" thickBot="1" x14ac:dyDescent="0.3">
      <c r="A61" s="9" t="s">
        <v>15</v>
      </c>
      <c r="B61" s="9" t="s">
        <v>16</v>
      </c>
      <c r="C61" s="10">
        <v>0.112</v>
      </c>
      <c r="D61" s="11">
        <v>9360</v>
      </c>
      <c r="E61" s="1">
        <f>F60+0.01</f>
        <v>180000.01</v>
      </c>
      <c r="F61" s="1">
        <v>360000</v>
      </c>
    </row>
    <row r="62" spans="1:10" ht="15.75" thickBot="1" x14ac:dyDescent="0.3">
      <c r="A62" s="9" t="s">
        <v>17</v>
      </c>
      <c r="B62" s="9" t="s">
        <v>18</v>
      </c>
      <c r="C62" s="10">
        <v>0.13500000000000001</v>
      </c>
      <c r="D62" s="11">
        <v>17640</v>
      </c>
      <c r="E62" s="1">
        <f>F61+0.01</f>
        <v>360000.01</v>
      </c>
      <c r="F62" s="1">
        <f>F61*2</f>
        <v>720000</v>
      </c>
    </row>
    <row r="63" spans="1:10" ht="15.75" thickBot="1" x14ac:dyDescent="0.3">
      <c r="A63" s="9" t="s">
        <v>19</v>
      </c>
      <c r="B63" s="9" t="s">
        <v>20</v>
      </c>
      <c r="C63" s="10">
        <v>0.16</v>
      </c>
      <c r="D63" s="11">
        <v>35640</v>
      </c>
      <c r="E63" s="1">
        <f>F62+0.01</f>
        <v>720000.01</v>
      </c>
      <c r="F63" s="1">
        <v>1800000</v>
      </c>
    </row>
    <row r="64" spans="1:10" ht="26.25" thickBot="1" x14ac:dyDescent="0.3">
      <c r="A64" s="9" t="s">
        <v>21</v>
      </c>
      <c r="B64" s="9" t="s">
        <v>22</v>
      </c>
      <c r="C64" s="10">
        <v>0.21</v>
      </c>
      <c r="D64" s="11">
        <v>125640</v>
      </c>
      <c r="E64" s="1">
        <f>F63+0.01</f>
        <v>1800000.01</v>
      </c>
      <c r="F64" s="1">
        <f>F63*2</f>
        <v>3600000</v>
      </c>
    </row>
    <row r="65" spans="1:6" ht="26.25" thickBot="1" x14ac:dyDescent="0.3">
      <c r="A65" s="9" t="s">
        <v>23</v>
      </c>
      <c r="B65" s="9" t="s">
        <v>24</v>
      </c>
      <c r="C65" s="10">
        <v>0.33</v>
      </c>
      <c r="D65" s="11">
        <v>648000</v>
      </c>
      <c r="E65" s="1">
        <f>F64+0.01</f>
        <v>3600000.01</v>
      </c>
      <c r="F65" s="1">
        <v>4800000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B9D223-70C0-494D-9665-C45DB77976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Simples</vt:lpstr>
      <vt:lpstr>Tabelas 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Sordi</dc:creator>
  <cp:lastModifiedBy>Matheus Vieira</cp:lastModifiedBy>
  <dcterms:created xsi:type="dcterms:W3CDTF">2015-06-05T18:17:20Z</dcterms:created>
  <dcterms:modified xsi:type="dcterms:W3CDTF">2026-07-10T13:42:12Z</dcterms:modified>
</cp:coreProperties>
</file>